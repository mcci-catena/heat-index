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cci\projects\coltan\background\"/>
    </mc:Choice>
  </mc:AlternateContent>
  <xr:revisionPtr revIDLastSave="0" documentId="13_ncr:1_{1994881F-9294-45A8-B9D7-4B93F510698E}" xr6:coauthVersionLast="36" xr6:coauthVersionMax="36" xr10:uidLastSave="{00000000-0000-0000-0000-000000000000}"/>
  <bookViews>
    <workbookView xWindow="0" yWindow="0" windowWidth="20520" windowHeight="9585" xr2:uid="{34DF931A-CF3E-4053-832F-DFE4460C25A8}"/>
  </bookViews>
  <sheets>
    <sheet name="Heat Index Table" sheetId="1" r:id="rId1"/>
    <sheet name="Test Cases" sheetId="2" r:id="rId2"/>
    <sheet name="test-heat-index" sheetId="3" r:id="rId3"/>
    <sheet name="CSV-Query" sheetId="5" r:id="rId4"/>
  </sheets>
  <functionGroups builtInGroupCount="19"/>
  <definedNames>
    <definedName name="ExternalData_1" localSheetId="3" hidden="1">'CSV-Query'!$A$1:$AX$28</definedName>
  </definedNames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5" i="3" l="1"/>
  <c r="U5" i="3"/>
  <c r="V5" i="3"/>
  <c r="W5" i="3"/>
  <c r="X5" i="3"/>
  <c r="Y5" i="3"/>
  <c r="Z5" i="3"/>
  <c r="AA5" i="3"/>
  <c r="AB5" i="3"/>
  <c r="AC5" i="3"/>
  <c r="AD5" i="3"/>
  <c r="AE5" i="3"/>
  <c r="AF5" i="3"/>
  <c r="AG5" i="3"/>
  <c r="AH5" i="3"/>
  <c r="AI5" i="3"/>
  <c r="AJ5" i="3"/>
  <c r="AK5" i="3"/>
  <c r="AL5" i="3"/>
  <c r="AM5" i="3"/>
  <c r="AN5" i="3"/>
  <c r="AO5" i="3"/>
  <c r="AP5" i="3"/>
  <c r="AQ5" i="3"/>
  <c r="AR5" i="3"/>
  <c r="AS5" i="3"/>
  <c r="AT5" i="3"/>
  <c r="AU5" i="3"/>
  <c r="AV5" i="3"/>
  <c r="AW5" i="3"/>
  <c r="AX5" i="3"/>
  <c r="V6" i="3"/>
  <c r="W6" i="3"/>
  <c r="X6" i="3"/>
  <c r="Y6" i="3"/>
  <c r="Z6" i="3"/>
  <c r="AA6" i="3"/>
  <c r="AB6" i="3"/>
  <c r="AC6" i="3"/>
  <c r="AD6" i="3"/>
  <c r="AE6" i="3"/>
  <c r="AF6" i="3"/>
  <c r="AG6" i="3"/>
  <c r="AH6" i="3"/>
  <c r="AI6" i="3"/>
  <c r="AJ6" i="3"/>
  <c r="AK6" i="3"/>
  <c r="AL6" i="3"/>
  <c r="AM6" i="3"/>
  <c r="AN6" i="3"/>
  <c r="AO6" i="3"/>
  <c r="AP6" i="3"/>
  <c r="AQ6" i="3"/>
  <c r="AR6" i="3"/>
  <c r="AS6" i="3"/>
  <c r="AT6" i="3"/>
  <c r="AU6" i="3"/>
  <c r="AV6" i="3"/>
  <c r="AW6" i="3"/>
  <c r="AX6" i="3"/>
  <c r="W7" i="3"/>
  <c r="X7" i="3"/>
  <c r="Y7" i="3"/>
  <c r="Z7" i="3"/>
  <c r="AA7" i="3"/>
  <c r="AB7" i="3"/>
  <c r="AC7" i="3"/>
  <c r="AD7" i="3"/>
  <c r="AE7" i="3"/>
  <c r="AF7" i="3"/>
  <c r="AG7" i="3"/>
  <c r="AH7" i="3"/>
  <c r="AI7" i="3"/>
  <c r="AJ7" i="3"/>
  <c r="AK7" i="3"/>
  <c r="AL7" i="3"/>
  <c r="AM7" i="3"/>
  <c r="AN7" i="3"/>
  <c r="AO7" i="3"/>
  <c r="AP7" i="3"/>
  <c r="AQ7" i="3"/>
  <c r="AR7" i="3"/>
  <c r="AS7" i="3"/>
  <c r="AT7" i="3"/>
  <c r="AU7" i="3"/>
  <c r="AV7" i="3"/>
  <c r="AW7" i="3"/>
  <c r="AX7" i="3"/>
  <c r="Y8" i="3"/>
  <c r="Z8" i="3"/>
  <c r="AA8" i="3"/>
  <c r="AB8" i="3"/>
  <c r="AC8" i="3"/>
  <c r="AD8" i="3"/>
  <c r="AE8" i="3"/>
  <c r="AF8" i="3"/>
  <c r="AG8" i="3"/>
  <c r="AH8" i="3"/>
  <c r="AI8" i="3"/>
  <c r="AJ8" i="3"/>
  <c r="AK8" i="3"/>
  <c r="AL8" i="3"/>
  <c r="AM8" i="3"/>
  <c r="AN8" i="3"/>
  <c r="AO8" i="3"/>
  <c r="AP8" i="3"/>
  <c r="AQ8" i="3"/>
  <c r="AR8" i="3"/>
  <c r="AS8" i="3"/>
  <c r="AT8" i="3"/>
  <c r="AU8" i="3"/>
  <c r="AV8" i="3"/>
  <c r="AW8" i="3"/>
  <c r="AX8" i="3"/>
  <c r="AA9" i="3"/>
  <c r="AB9" i="3"/>
  <c r="AC9" i="3"/>
  <c r="AD9" i="3"/>
  <c r="AE9" i="3"/>
  <c r="AF9" i="3"/>
  <c r="AG9" i="3"/>
  <c r="AH9" i="3"/>
  <c r="AI9" i="3"/>
  <c r="AJ9" i="3"/>
  <c r="AK9" i="3"/>
  <c r="AL9" i="3"/>
  <c r="AM9" i="3"/>
  <c r="AN9" i="3"/>
  <c r="AO9" i="3"/>
  <c r="AP9" i="3"/>
  <c r="AQ9" i="3"/>
  <c r="AR9" i="3"/>
  <c r="AS9" i="3"/>
  <c r="AT9" i="3"/>
  <c r="AU9" i="3"/>
  <c r="AV9" i="3"/>
  <c r="AW9" i="3"/>
  <c r="AX9" i="3"/>
  <c r="AC10" i="3"/>
  <c r="AD10" i="3"/>
  <c r="AE10" i="3"/>
  <c r="AF10" i="3"/>
  <c r="AG10" i="3"/>
  <c r="AH10" i="3"/>
  <c r="AI10" i="3"/>
  <c r="AJ10" i="3"/>
  <c r="AK10" i="3"/>
  <c r="AL10" i="3"/>
  <c r="AM10" i="3"/>
  <c r="AN10" i="3"/>
  <c r="AO10" i="3"/>
  <c r="AP10" i="3"/>
  <c r="AQ10" i="3"/>
  <c r="AR10" i="3"/>
  <c r="AS10" i="3"/>
  <c r="AT10" i="3"/>
  <c r="AU10" i="3"/>
  <c r="AV10" i="3"/>
  <c r="AW10" i="3"/>
  <c r="AX10" i="3"/>
  <c r="AE11" i="3"/>
  <c r="AF11" i="3"/>
  <c r="AG11" i="3"/>
  <c r="AH11" i="3"/>
  <c r="AI11" i="3"/>
  <c r="AJ11" i="3"/>
  <c r="AK11" i="3"/>
  <c r="AL11" i="3"/>
  <c r="AM11" i="3"/>
  <c r="AN11" i="3"/>
  <c r="AO11" i="3"/>
  <c r="AP11" i="3"/>
  <c r="AQ11" i="3"/>
  <c r="AR11" i="3"/>
  <c r="AS11" i="3"/>
  <c r="AT11" i="3"/>
  <c r="AU11" i="3"/>
  <c r="AV11" i="3"/>
  <c r="AW11" i="3"/>
  <c r="AX11" i="3"/>
  <c r="AG12" i="3"/>
  <c r="AH12" i="3"/>
  <c r="AI12" i="3"/>
  <c r="AJ12" i="3"/>
  <c r="AK12" i="3"/>
  <c r="AL12" i="3"/>
  <c r="AM12" i="3"/>
  <c r="AN12" i="3"/>
  <c r="AO12" i="3"/>
  <c r="AP12" i="3"/>
  <c r="AQ12" i="3"/>
  <c r="AR12" i="3"/>
  <c r="AS12" i="3"/>
  <c r="AT12" i="3"/>
  <c r="AU12" i="3"/>
  <c r="AV12" i="3"/>
  <c r="AW12" i="3"/>
  <c r="AX12" i="3"/>
  <c r="AJ13" i="3"/>
  <c r="AK13" i="3"/>
  <c r="AL13" i="3"/>
  <c r="AM13" i="3"/>
  <c r="AN13" i="3"/>
  <c r="AO13" i="3"/>
  <c r="AP13" i="3"/>
  <c r="AQ13" i="3"/>
  <c r="AR13" i="3"/>
  <c r="AS13" i="3"/>
  <c r="AT13" i="3"/>
  <c r="AU13" i="3"/>
  <c r="AV13" i="3"/>
  <c r="AW13" i="3"/>
  <c r="AX13" i="3"/>
  <c r="AL14" i="3"/>
  <c r="AM14" i="3"/>
  <c r="AN14" i="3"/>
  <c r="AO14" i="3"/>
  <c r="AP14" i="3"/>
  <c r="AQ14" i="3"/>
  <c r="AR14" i="3"/>
  <c r="AS14" i="3"/>
  <c r="AT14" i="3"/>
  <c r="AU14" i="3"/>
  <c r="AV14" i="3"/>
  <c r="AW14" i="3"/>
  <c r="AX14" i="3"/>
  <c r="AO15" i="3"/>
  <c r="AP15" i="3"/>
  <c r="AQ15" i="3"/>
  <c r="AR15" i="3"/>
  <c r="AS15" i="3"/>
  <c r="AT15" i="3"/>
  <c r="AU15" i="3"/>
  <c r="AV15" i="3"/>
  <c r="AW15" i="3"/>
  <c r="AX15" i="3"/>
  <c r="AR16" i="3"/>
  <c r="AS16" i="3"/>
  <c r="AT16" i="3"/>
  <c r="AU16" i="3"/>
  <c r="AV16" i="3"/>
  <c r="AW16" i="3"/>
  <c r="AX16" i="3"/>
  <c r="AV17" i="3"/>
  <c r="AW17" i="3"/>
  <c r="AX17" i="3"/>
  <c r="S4" i="3"/>
  <c r="T4" i="3"/>
  <c r="U4" i="3"/>
  <c r="V4" i="3"/>
  <c r="W4" i="3"/>
  <c r="X4" i="3"/>
  <c r="Y4" i="3"/>
  <c r="Z4" i="3"/>
  <c r="AA4" i="3"/>
  <c r="AB4" i="3"/>
  <c r="AC4" i="3"/>
  <c r="AD4" i="3"/>
  <c r="AE4" i="3"/>
  <c r="AF4" i="3"/>
  <c r="AG4" i="3"/>
  <c r="AH4" i="3"/>
  <c r="AI4" i="3"/>
  <c r="AJ4" i="3"/>
  <c r="AK4" i="3"/>
  <c r="AL4" i="3"/>
  <c r="AM4" i="3"/>
  <c r="AN4" i="3"/>
  <c r="AO4" i="3"/>
  <c r="AP4" i="3"/>
  <c r="AQ4" i="3"/>
  <c r="AR4" i="3"/>
  <c r="AS4" i="3"/>
  <c r="AT4" i="3"/>
  <c r="AU4" i="3"/>
  <c r="AV4" i="3"/>
  <c r="AW4" i="3"/>
  <c r="AX4" i="3"/>
  <c r="D5" i="2"/>
  <c r="AJ26" i="1"/>
  <c r="D28" i="1"/>
  <c r="J26" i="1"/>
  <c r="V28" i="1"/>
  <c r="AM27" i="1"/>
  <c r="AG26" i="1"/>
  <c r="AW27" i="1"/>
  <c r="AD27" i="1"/>
  <c r="AQ27" i="1"/>
  <c r="U7" i="1"/>
  <c r="AC10" i="1"/>
  <c r="V12" i="1"/>
  <c r="W12" i="1"/>
  <c r="AD15" i="1"/>
  <c r="AC15" i="1"/>
  <c r="AT17" i="1"/>
  <c r="AF12" i="1"/>
  <c r="AT16" i="1"/>
  <c r="U19" i="1"/>
  <c r="W21" i="1"/>
  <c r="AF11" i="1"/>
  <c r="AI16" i="1"/>
  <c r="AO18" i="1"/>
  <c r="AJ19" i="1"/>
  <c r="Z22" i="1"/>
  <c r="AF24" i="1"/>
  <c r="AN19" i="1"/>
  <c r="V14" i="1"/>
  <c r="AU20" i="1"/>
  <c r="AF23" i="1"/>
  <c r="AH25" i="1"/>
  <c r="AD23" i="1"/>
  <c r="H27" i="1"/>
  <c r="X28" i="1"/>
  <c r="AT26" i="1"/>
  <c r="G26" i="1"/>
  <c r="AA28" i="1"/>
  <c r="E27" i="1"/>
  <c r="U28" i="1"/>
  <c r="AH28" i="1"/>
  <c r="AM28" i="1"/>
  <c r="AA9" i="1"/>
  <c r="U9" i="1"/>
  <c r="AA13" i="1"/>
  <c r="AB13" i="1"/>
  <c r="Z9" i="1"/>
  <c r="AC16" i="1"/>
  <c r="AI18" i="1"/>
  <c r="AL14" i="1"/>
  <c r="AM17" i="1"/>
  <c r="AO19" i="1"/>
  <c r="AQ21" i="1"/>
  <c r="AA14" i="1"/>
  <c r="AB17" i="1"/>
  <c r="U13" i="1"/>
  <c r="AI20" i="1"/>
  <c r="AX22" i="1"/>
  <c r="U25" i="1"/>
  <c r="AD22" i="1"/>
  <c r="V18" i="1"/>
  <c r="AS21" i="1"/>
  <c r="U24" i="1"/>
  <c r="AR16" i="1"/>
  <c r="L26" i="1"/>
  <c r="AB27" i="1"/>
  <c r="AR28" i="1"/>
  <c r="AF26" i="1"/>
  <c r="AV27" i="1"/>
  <c r="AS28" i="1"/>
  <c r="R28" i="1"/>
  <c r="AI27" i="1"/>
  <c r="AC26" i="1"/>
  <c r="AS27" i="1"/>
  <c r="V27" i="1"/>
  <c r="AE27" i="1"/>
  <c r="H7" i="1"/>
  <c r="Y10" i="1"/>
  <c r="AG11" i="1"/>
  <c r="AD11" i="1"/>
  <c r="Z15" i="1"/>
  <c r="X15" i="1"/>
  <c r="AP17" i="1"/>
  <c r="X12" i="1"/>
  <c r="AP16" i="1"/>
  <c r="AV18" i="1"/>
  <c r="AX20" i="1"/>
  <c r="X11" i="1"/>
  <c r="AE16" i="1"/>
  <c r="AK18" i="1"/>
  <c r="AE19" i="1"/>
  <c r="U22" i="1"/>
  <c r="AB24" i="1"/>
  <c r="V19" i="1"/>
  <c r="AC13" i="1"/>
  <c r="AO20" i="1"/>
  <c r="AB23" i="1"/>
  <c r="AD25" i="1"/>
  <c r="F27" i="1"/>
  <c r="AC28" i="1"/>
  <c r="Y9" i="1"/>
  <c r="AG16" i="1"/>
  <c r="AS19" i="1"/>
  <c r="AN14" i="1"/>
  <c r="AS22" i="1"/>
  <c r="U17" i="1"/>
  <c r="AN16" i="1"/>
  <c r="Y21" i="1"/>
  <c r="AO23" i="1"/>
  <c r="AQ25" i="1"/>
  <c r="AH23" i="1"/>
  <c r="P5" i="1"/>
  <c r="I10" i="1"/>
  <c r="M14" i="1"/>
  <c r="Q18" i="1"/>
  <c r="F23" i="1"/>
  <c r="K9" i="1"/>
  <c r="H4" i="1"/>
  <c r="P8" i="1"/>
  <c r="T12" i="1"/>
  <c r="I17" i="1"/>
  <c r="M21" i="1"/>
  <c r="Q25" i="1"/>
  <c r="O13" i="1"/>
  <c r="N5" i="1"/>
  <c r="G10" i="1"/>
  <c r="O14" i="1"/>
  <c r="S18" i="1"/>
  <c r="D7" i="2"/>
  <c r="D8" i="2"/>
  <c r="D26" i="1"/>
  <c r="T27" i="1"/>
  <c r="AJ28" i="1"/>
  <c r="R27" i="1"/>
  <c r="AE26" i="1"/>
  <c r="AY28" i="1"/>
  <c r="Q27" i="1"/>
  <c r="AW28" i="1"/>
  <c r="O26" i="1"/>
  <c r="C28" i="1"/>
  <c r="U6" i="1"/>
  <c r="V10" i="1"/>
  <c r="X14" i="1"/>
  <c r="U14" i="1"/>
  <c r="AC12" i="1"/>
  <c r="AO16" i="1"/>
  <c r="AU18" i="1"/>
  <c r="AJ15" i="1"/>
  <c r="AY17" i="1"/>
  <c r="V20" i="1"/>
  <c r="X22" i="1"/>
  <c r="U15" i="1"/>
  <c r="AN17" i="1"/>
  <c r="AF16" i="1"/>
  <c r="AY20" i="1"/>
  <c r="AE23" i="1"/>
  <c r="AG25" i="1"/>
  <c r="AP23" i="1"/>
  <c r="AF19" i="1"/>
  <c r="AA22" i="1"/>
  <c r="AG24" i="1"/>
  <c r="AI19" i="1"/>
  <c r="X26" i="1"/>
  <c r="AN27" i="1"/>
  <c r="AG28" i="1"/>
  <c r="F28" i="1"/>
  <c r="S27" i="1"/>
  <c r="U26" i="1"/>
  <c r="AK27" i="1"/>
  <c r="AX26" i="1"/>
  <c r="K27" i="1"/>
  <c r="H9" i="1"/>
  <c r="AB9" i="1"/>
  <c r="Y11" i="1"/>
  <c r="V11" i="1"/>
  <c r="AO14" i="1"/>
  <c r="AE14" i="1"/>
  <c r="AH17" i="1"/>
  <c r="W11" i="1"/>
  <c r="AH16" i="1"/>
  <c r="AN18" i="1"/>
  <c r="AP20" i="1"/>
  <c r="X7" i="1"/>
  <c r="W16" i="1"/>
  <c r="AC18" i="1"/>
  <c r="AX18" i="1"/>
  <c r="AR21" i="1"/>
  <c r="AY23" i="1"/>
  <c r="AB16" i="1"/>
  <c r="AJ25" i="1"/>
  <c r="AE20" i="1"/>
  <c r="AY22" i="1"/>
  <c r="V25" i="1"/>
  <c r="AV21" i="1"/>
  <c r="AR26" i="1"/>
  <c r="L28" i="1"/>
  <c r="Z26" i="1"/>
  <c r="P27" i="1"/>
  <c r="AF28" i="1"/>
  <c r="N27" i="1"/>
  <c r="AA26" i="1"/>
  <c r="AQ28" i="1"/>
  <c r="M27" i="1"/>
  <c r="AK28" i="1"/>
  <c r="K26" i="1"/>
  <c r="F26" i="1"/>
  <c r="AB10" i="1"/>
  <c r="AC9" i="1"/>
  <c r="AI13" i="1"/>
  <c r="AJ13" i="1"/>
  <c r="U12" i="1"/>
  <c r="AK16" i="1"/>
  <c r="AQ18" i="1"/>
  <c r="AE15" i="1"/>
  <c r="AU17" i="1"/>
  <c r="AW19" i="1"/>
  <c r="AY21" i="1"/>
  <c r="AM14" i="1"/>
  <c r="AJ17" i="1"/>
  <c r="AG15" i="1"/>
  <c r="AS20" i="1"/>
  <c r="AA23" i="1"/>
  <c r="AC25" i="1"/>
  <c r="Z23" i="1"/>
  <c r="Z19" i="1"/>
  <c r="V22" i="1"/>
  <c r="AC24" i="1"/>
  <c r="AD18" i="1"/>
  <c r="AI28" i="1"/>
  <c r="AU28" i="1"/>
  <c r="AF13" i="1"/>
  <c r="Y15" i="1"/>
  <c r="AH14" i="1"/>
  <c r="W23" i="1"/>
  <c r="AX21" i="1"/>
  <c r="AB25" i="1"/>
  <c r="AR19" i="1"/>
  <c r="AM22" i="1"/>
  <c r="AP24" i="1"/>
  <c r="AT19" i="1"/>
  <c r="N3" i="1"/>
  <c r="R7" i="1"/>
  <c r="K12" i="1"/>
  <c r="D6" i="2"/>
  <c r="T26" i="1"/>
  <c r="AJ27" i="1"/>
  <c r="Y28" i="1"/>
  <c r="AT27" i="1"/>
  <c r="O27" i="1"/>
  <c r="Q26" i="1"/>
  <c r="AG27" i="1"/>
  <c r="AL26" i="1"/>
  <c r="AY26" i="1"/>
  <c r="H10" i="1"/>
  <c r="X9" i="1"/>
  <c r="U11" i="1"/>
  <c r="AA10" i="1"/>
  <c r="AK14" i="1"/>
  <c r="W14" i="1"/>
  <c r="AD17" i="1"/>
  <c r="AD10" i="1"/>
  <c r="AD16" i="1"/>
  <c r="AJ18" i="1"/>
  <c r="AL20" i="1"/>
  <c r="AN22" i="1"/>
  <c r="AQ15" i="1"/>
  <c r="Y18" i="1"/>
  <c r="AH18" i="1"/>
  <c r="AL21" i="1"/>
  <c r="AU23" i="1"/>
  <c r="AW25" i="1"/>
  <c r="X25" i="1"/>
  <c r="Y20" i="1"/>
  <c r="AU22" i="1"/>
  <c r="AW24" i="1"/>
  <c r="AF21" i="1"/>
  <c r="AN26" i="1"/>
  <c r="H28" i="1"/>
  <c r="R26" i="1"/>
  <c r="AD28" i="1"/>
  <c r="AU27" i="1"/>
  <c r="AK26" i="1"/>
  <c r="E28" i="1"/>
  <c r="AL27" i="1"/>
  <c r="AY27" i="1"/>
  <c r="Y7" i="1"/>
  <c r="U5" i="1"/>
  <c r="Z12" i="1"/>
  <c r="AA12" i="1"/>
  <c r="AH15" i="1"/>
  <c r="AI15" i="1"/>
  <c r="AX17" i="1"/>
  <c r="Y13" i="1"/>
  <c r="W17" i="1"/>
  <c r="Y19" i="1"/>
  <c r="AA21" i="1"/>
  <c r="Y12" i="1"/>
  <c r="AM16" i="1"/>
  <c r="AS18" i="1"/>
  <c r="AP19" i="1"/>
  <c r="AE22" i="1"/>
  <c r="AJ24" i="1"/>
  <c r="AG20" i="1"/>
  <c r="AM15" i="1"/>
  <c r="X21" i="1"/>
  <c r="AJ23" i="1"/>
  <c r="AL25" i="1"/>
  <c r="AL23" i="1"/>
  <c r="L27" i="1"/>
  <c r="AB28" i="1"/>
  <c r="P26" i="1"/>
  <c r="AF27" i="1"/>
  <c r="AV28" i="1"/>
  <c r="AP27" i="1"/>
  <c r="G27" i="1"/>
  <c r="M26" i="1"/>
  <c r="AC27" i="1"/>
  <c r="AD26" i="1"/>
  <c r="AQ26" i="1"/>
  <c r="H11" i="1"/>
  <c r="AA8" i="1"/>
  <c r="W10" i="1"/>
  <c r="Y8" i="1"/>
  <c r="AG14" i="1"/>
  <c r="AL13" i="1"/>
  <c r="Z17" i="1"/>
  <c r="AB19" i="1"/>
  <c r="Z16" i="1"/>
  <c r="AF18" i="1"/>
  <c r="AH20" i="1"/>
  <c r="AJ22" i="1"/>
  <c r="AK15" i="1"/>
  <c r="U18" i="1"/>
  <c r="AO17" i="1"/>
  <c r="AG21" i="1"/>
  <c r="AQ23" i="1"/>
  <c r="AS25" i="1"/>
  <c r="AY24" i="1"/>
  <c r="AV19" i="1"/>
  <c r="AQ22" i="1"/>
  <c r="AS24" i="1"/>
  <c r="AM20" i="1"/>
  <c r="I27" i="1"/>
  <c r="X10" i="1"/>
  <c r="AB11" i="1"/>
  <c r="AQ17" i="1"/>
  <c r="AF17" i="1"/>
  <c r="Y25" i="1"/>
  <c r="Y24" i="1"/>
  <c r="AD14" i="1"/>
  <c r="AF20" i="1"/>
  <c r="Y23" i="1"/>
  <c r="AA25" i="1"/>
  <c r="AK21" i="1"/>
  <c r="O4" i="1"/>
  <c r="S8" i="1"/>
  <c r="L13" i="1"/>
  <c r="P17" i="1"/>
  <c r="T21" i="1"/>
  <c r="J4" i="1"/>
  <c r="G3" i="1"/>
  <c r="K7" i="1"/>
  <c r="S11" i="1"/>
  <c r="H16" i="1"/>
  <c r="L20" i="1"/>
  <c r="P24" i="1"/>
  <c r="L10" i="1"/>
  <c r="M4" i="1"/>
  <c r="F9" i="1"/>
  <c r="N13" i="1"/>
  <c r="D4" i="2"/>
  <c r="AX28" i="1"/>
  <c r="Z28" i="1"/>
  <c r="W13" i="1"/>
  <c r="AE18" i="1"/>
  <c r="AM21" i="1"/>
  <c r="AC20" i="1"/>
  <c r="AS17" i="1"/>
  <c r="H26" i="1"/>
  <c r="AM26" i="1"/>
  <c r="W26" i="1"/>
  <c r="AB14" i="1"/>
  <c r="AY18" i="1"/>
  <c r="AB22" i="1"/>
  <c r="V21" i="1"/>
  <c r="AL19" i="1"/>
  <c r="AB26" i="1"/>
  <c r="P28" i="1"/>
  <c r="AS26" i="1"/>
  <c r="Z8" i="1"/>
  <c r="AP15" i="1"/>
  <c r="AE17" i="1"/>
  <c r="AU16" i="1"/>
  <c r="AR24" i="1"/>
  <c r="AR23" i="1"/>
  <c r="AE13" i="1"/>
  <c r="AL18" i="1"/>
  <c r="Z24" i="1"/>
  <c r="J11" i="1"/>
  <c r="S20" i="1"/>
  <c r="F16" i="1"/>
  <c r="R10" i="1"/>
  <c r="K19" i="1"/>
  <c r="M7" i="1"/>
  <c r="T7" i="1"/>
  <c r="Q16" i="1"/>
  <c r="G22" i="1"/>
  <c r="F4" i="1"/>
  <c r="AU26" i="1"/>
  <c r="AI26" i="1"/>
  <c r="W6" i="1"/>
  <c r="X19" i="1"/>
  <c r="AF22" i="1"/>
  <c r="AB21" i="1"/>
  <c r="AQ19" i="1"/>
  <c r="AE24" i="1"/>
  <c r="AA19" i="1"/>
  <c r="W22" i="1"/>
  <c r="AD24" i="1"/>
  <c r="AB15" i="1"/>
  <c r="AR25" i="1"/>
  <c r="F7" i="1"/>
  <c r="N11" i="1"/>
  <c r="R15" i="1"/>
  <c r="G20" i="1"/>
  <c r="K24" i="1"/>
  <c r="G13" i="1"/>
  <c r="M5" i="1"/>
  <c r="F10" i="1"/>
  <c r="J14" i="1"/>
  <c r="N18" i="1"/>
  <c r="R22" i="1"/>
  <c r="O5" i="1"/>
  <c r="K17" i="1"/>
  <c r="S6" i="1"/>
  <c r="P11" i="1"/>
  <c r="T15" i="1"/>
  <c r="I20" i="1"/>
  <c r="M24" i="1"/>
  <c r="M11" i="1"/>
  <c r="Y26" i="1"/>
  <c r="H8" i="1"/>
  <c r="V15" i="1"/>
  <c r="AL16" i="1"/>
  <c r="AA16" i="1"/>
  <c r="X24" i="1"/>
  <c r="X23" i="1"/>
  <c r="AV25" i="1"/>
  <c r="U20" i="1"/>
  <c r="AV22" i="1"/>
  <c r="AX24" i="1"/>
  <c r="AR20" i="1"/>
  <c r="G4" i="1"/>
  <c r="K8" i="1"/>
  <c r="S12" i="1"/>
  <c r="H17" i="1"/>
  <c r="L21" i="1"/>
  <c r="P25" i="1"/>
  <c r="O17" i="1"/>
  <c r="R6" i="1"/>
  <c r="K11" i="1"/>
  <c r="O15" i="1"/>
  <c r="S19" i="1"/>
  <c r="H24" i="1"/>
  <c r="R8" i="1"/>
  <c r="P3" i="1"/>
  <c r="M8" i="1"/>
  <c r="F13" i="1"/>
  <c r="J17" i="1"/>
  <c r="N21" i="1"/>
  <c r="I3" i="1"/>
  <c r="M15" i="1"/>
  <c r="W18" i="1"/>
  <c r="AO22" i="1"/>
  <c r="AA11" i="1"/>
  <c r="J15" i="1"/>
  <c r="T4" i="1"/>
  <c r="J22" i="1"/>
  <c r="S10" i="1"/>
  <c r="G9" i="1"/>
  <c r="M19" i="1"/>
  <c r="F20" i="1"/>
  <c r="C25" i="1"/>
  <c r="D17" i="1"/>
  <c r="D12" i="1"/>
  <c r="D3" i="1"/>
  <c r="T16" i="1"/>
  <c r="H22" i="1"/>
  <c r="D5" i="1"/>
  <c r="G28" i="1"/>
  <c r="AG12" i="1"/>
  <c r="AM19" i="1"/>
  <c r="J3" i="1"/>
  <c r="O20" i="1"/>
  <c r="N10" i="1"/>
  <c r="T6" i="1"/>
  <c r="M16" i="1"/>
  <c r="S17" i="1"/>
  <c r="R24" i="1"/>
  <c r="D10" i="1"/>
  <c r="C22" i="1"/>
  <c r="C24" i="1"/>
  <c r="C19" i="1"/>
  <c r="C3" i="1"/>
  <c r="AV20" i="1"/>
  <c r="Q22" i="1"/>
  <c r="K14" i="1"/>
  <c r="C13" i="1"/>
  <c r="E21" i="1"/>
  <c r="AL15" i="1"/>
  <c r="AN23" i="1"/>
  <c r="W25" i="1"/>
  <c r="H13" i="1"/>
  <c r="P18" i="1"/>
  <c r="H20" i="1"/>
  <c r="Q8" i="1"/>
  <c r="Q3" i="1"/>
  <c r="S25" i="1"/>
  <c r="G21" i="1"/>
  <c r="D22" i="1"/>
  <c r="E14" i="1"/>
  <c r="E9" i="1"/>
  <c r="E16" i="1"/>
  <c r="AW20" i="1"/>
  <c r="T9" i="1"/>
  <c r="M25" i="1"/>
  <c r="K25" i="1"/>
  <c r="D21" i="1"/>
  <c r="AT21" i="1"/>
  <c r="Q14" i="1"/>
  <c r="I13" i="1"/>
  <c r="L14" i="1"/>
  <c r="S14" i="1"/>
  <c r="AA27" i="1"/>
  <c r="AE10" i="1"/>
  <c r="AM24" i="1"/>
  <c r="AH24" i="1"/>
  <c r="J7" i="1"/>
  <c r="K20" i="1"/>
  <c r="J10" i="1"/>
  <c r="H6" i="1"/>
  <c r="I16" i="1"/>
  <c r="AD12" i="1"/>
  <c r="Q11" i="1"/>
  <c r="N24" i="1"/>
  <c r="C7" i="1"/>
  <c r="J16" i="1"/>
  <c r="AD19" i="1"/>
  <c r="I12" i="1"/>
  <c r="D7" i="1"/>
  <c r="E4" i="1"/>
  <c r="T22" i="1"/>
  <c r="AN24" i="1"/>
  <c r="S15" i="1"/>
  <c r="S21" i="1"/>
  <c r="E25" i="1"/>
  <c r="P12" i="1"/>
  <c r="D27" i="1"/>
  <c r="S28" i="1"/>
  <c r="AE28" i="1"/>
  <c r="X13" i="1"/>
  <c r="AF14" i="1"/>
  <c r="AH13" i="1"/>
  <c r="AT22" i="1"/>
  <c r="AN21" i="1"/>
  <c r="X27" i="1"/>
  <c r="E26" i="1"/>
  <c r="C27" i="1"/>
  <c r="Y14" i="1"/>
  <c r="AO15" i="1"/>
  <c r="AA15" i="1"/>
  <c r="AI23" i="1"/>
  <c r="AG22" i="1"/>
  <c r="AR27" i="1"/>
  <c r="AH26" i="1"/>
  <c r="M28" i="1"/>
  <c r="W7" i="1"/>
  <c r="U16" i="1"/>
  <c r="AG19" i="1"/>
  <c r="V9" i="1"/>
  <c r="Z21" i="1"/>
  <c r="AT25" i="1"/>
  <c r="AM18" i="1"/>
  <c r="AX23" i="1"/>
  <c r="AI14" i="1"/>
  <c r="N15" i="1"/>
  <c r="G24" i="1"/>
  <c r="I5" i="1"/>
  <c r="F14" i="1"/>
  <c r="N22" i="1"/>
  <c r="N16" i="1"/>
  <c r="L11" i="1"/>
  <c r="R17" i="1"/>
  <c r="H23" i="1"/>
  <c r="L6" i="1"/>
  <c r="I26" i="1"/>
  <c r="C26" i="1"/>
  <c r="AC14" i="1"/>
  <c r="V16" i="1"/>
  <c r="AF15" i="1"/>
  <c r="AM23" i="1"/>
  <c r="AL22" i="1"/>
  <c r="AN25" i="1"/>
  <c r="AX19" i="1"/>
  <c r="AR22" i="1"/>
  <c r="AT24" i="1"/>
  <c r="AB20" i="1"/>
  <c r="R3" i="1"/>
  <c r="G8" i="1"/>
  <c r="O12" i="1"/>
  <c r="S16" i="1"/>
  <c r="H21" i="1"/>
  <c r="L25" i="1"/>
  <c r="R16" i="1"/>
  <c r="N6" i="1"/>
  <c r="G11" i="1"/>
  <c r="K15" i="1"/>
  <c r="O19" i="1"/>
  <c r="S23" i="1"/>
  <c r="F8" i="1"/>
  <c r="L3" i="1"/>
  <c r="I8" i="1"/>
  <c r="Q12" i="1"/>
  <c r="F17" i="1"/>
  <c r="J21" i="1"/>
  <c r="R25" i="1"/>
  <c r="P14" i="1"/>
  <c r="AO27" i="1"/>
  <c r="U10" i="1"/>
  <c r="AJ14" i="1"/>
  <c r="AR18" i="1"/>
  <c r="AG18" i="1"/>
  <c r="AT18" i="1"/>
  <c r="Z25" i="1"/>
  <c r="AR15" i="1"/>
  <c r="AQ20" i="1"/>
  <c r="AG23" i="1"/>
  <c r="AI25" i="1"/>
  <c r="AW22" i="1"/>
  <c r="H5" i="1"/>
  <c r="P9" i="1"/>
  <c r="T13" i="1"/>
  <c r="I18" i="1"/>
  <c r="M22" i="1"/>
  <c r="Q7" i="1"/>
  <c r="O3" i="1"/>
  <c r="S7" i="1"/>
  <c r="L12" i="1"/>
  <c r="P16" i="1"/>
  <c r="T20" i="1"/>
  <c r="I25" i="1"/>
  <c r="F12" i="1"/>
  <c r="F5" i="1"/>
  <c r="N9" i="1"/>
  <c r="G14" i="1"/>
  <c r="K18" i="1"/>
  <c r="O22" i="1"/>
  <c r="K5" i="1"/>
  <c r="AL28" i="1"/>
  <c r="AE21" i="1"/>
  <c r="Z18" i="1"/>
  <c r="AI24" i="1"/>
  <c r="N19" i="1"/>
  <c r="M9" i="1"/>
  <c r="N4" i="1"/>
  <c r="L15" i="1"/>
  <c r="G17" i="1"/>
  <c r="Q23" i="1"/>
  <c r="C9" i="1"/>
  <c r="C18" i="1"/>
  <c r="E22" i="1"/>
  <c r="E17" i="1"/>
  <c r="C4" i="1"/>
  <c r="J5" i="1"/>
  <c r="P22" i="1"/>
  <c r="C10" i="1"/>
  <c r="O28" i="1"/>
  <c r="AK22" i="1"/>
  <c r="AH22" i="1"/>
  <c r="N7" i="1"/>
  <c r="S24" i="1"/>
  <c r="R14" i="1"/>
  <c r="L18" i="1"/>
  <c r="Q20" i="1"/>
  <c r="K21" i="1"/>
  <c r="R20" i="1"/>
  <c r="E15" i="1"/>
  <c r="C8" i="1"/>
  <c r="D19" i="1"/>
  <c r="D24" i="1"/>
  <c r="I28" i="1"/>
  <c r="AM25" i="1"/>
  <c r="L8" i="1"/>
  <c r="S5" i="1"/>
  <c r="C14" i="1"/>
  <c r="D4" i="1"/>
  <c r="AA17" i="1"/>
  <c r="AK13" i="1"/>
  <c r="U21" i="1"/>
  <c r="L17" i="1"/>
  <c r="G7" i="1"/>
  <c r="L24" i="1"/>
  <c r="J13" i="1"/>
  <c r="H14" i="1"/>
  <c r="O21" i="1"/>
  <c r="D6" i="1"/>
  <c r="D11" i="1"/>
  <c r="C20" i="1"/>
  <c r="C15" i="1"/>
  <c r="E3" i="1"/>
  <c r="X16" i="1"/>
  <c r="M18" i="1"/>
  <c r="R9" i="1"/>
  <c r="E7" i="1"/>
  <c r="C11" i="1"/>
  <c r="Q28" i="1"/>
  <c r="Y16" i="1"/>
  <c r="AK19" i="1"/>
  <c r="AP21" i="1"/>
  <c r="Z27" i="1"/>
  <c r="Z10" i="1"/>
  <c r="Z20" i="1"/>
  <c r="AA24" i="1"/>
  <c r="AV26" i="1"/>
  <c r="W28" i="1"/>
  <c r="Z14" i="1"/>
  <c r="AP22" i="1"/>
  <c r="AT28" i="1"/>
  <c r="Q6" i="1"/>
  <c r="N12" i="1"/>
  <c r="J18" i="1"/>
  <c r="O6" i="1"/>
  <c r="F21" i="1"/>
  <c r="AH27" i="1"/>
  <c r="U8" i="1"/>
  <c r="AD20" i="1"/>
  <c r="AQ24" i="1"/>
  <c r="AG17" i="1"/>
  <c r="AS23" i="1"/>
  <c r="AT23" i="1"/>
  <c r="M10" i="1"/>
  <c r="J23" i="1"/>
  <c r="L4" i="1"/>
  <c r="M17" i="1"/>
  <c r="N25" i="1"/>
  <c r="K10" i="1"/>
  <c r="L23" i="1"/>
  <c r="W27" i="1"/>
  <c r="AE11" i="1"/>
  <c r="AJ20" i="1"/>
  <c r="AC22" i="1"/>
  <c r="F3" i="1"/>
  <c r="G16" i="1"/>
  <c r="S13" i="1"/>
  <c r="N14" i="1"/>
  <c r="G23" i="1"/>
  <c r="L7" i="1"/>
  <c r="M20" i="1"/>
  <c r="J12" i="1"/>
  <c r="V24" i="1"/>
  <c r="F18" i="1"/>
  <c r="T23" i="1"/>
  <c r="E19" i="1"/>
  <c r="E8" i="1"/>
  <c r="D18" i="1"/>
  <c r="AG13" i="1"/>
  <c r="K16" i="1"/>
  <c r="K23" i="1"/>
  <c r="N20" i="1"/>
  <c r="E18" i="1"/>
  <c r="I14" i="1"/>
  <c r="E5" i="1"/>
  <c r="U23" i="1"/>
  <c r="T25" i="1"/>
  <c r="R21" i="1"/>
  <c r="C17" i="1"/>
  <c r="D23" i="1"/>
  <c r="V23" i="1"/>
  <c r="E10" i="1"/>
  <c r="T28" i="1"/>
  <c r="AW26" i="1"/>
  <c r="W9" i="1"/>
  <c r="V5" i="1"/>
  <c r="AI17" i="1"/>
  <c r="X17" i="1"/>
  <c r="AV24" i="1"/>
  <c r="AV23" i="1"/>
  <c r="AN28" i="1"/>
  <c r="U27" i="1"/>
  <c r="V7" i="1"/>
  <c r="V13" i="1"/>
  <c r="X18" i="1"/>
  <c r="AR17" i="1"/>
  <c r="AK25" i="1"/>
  <c r="AK24" i="1"/>
  <c r="AO28" i="1"/>
  <c r="AP28" i="1"/>
  <c r="N28" i="1"/>
  <c r="AH12" i="1"/>
  <c r="AA18" i="1"/>
  <c r="AI21" i="1"/>
  <c r="X20" i="1"/>
  <c r="AC17" i="1"/>
  <c r="S26" i="1"/>
  <c r="AU21" i="1"/>
  <c r="AP18" i="1"/>
  <c r="AF25" i="1"/>
  <c r="O16" i="1"/>
  <c r="H25" i="1"/>
  <c r="J6" i="1"/>
  <c r="G15" i="1"/>
  <c r="O23" i="1"/>
  <c r="H3" i="1"/>
  <c r="M12" i="1"/>
  <c r="T19" i="1"/>
  <c r="I24" i="1"/>
  <c r="T10" i="1"/>
  <c r="Y27" i="1"/>
  <c r="W8" i="1"/>
  <c r="AD13" i="1"/>
  <c r="AB18" i="1"/>
  <c r="AV17" i="1"/>
  <c r="AO25" i="1"/>
  <c r="AO24" i="1"/>
  <c r="W15" i="1"/>
  <c r="AK20" i="1"/>
  <c r="AC23" i="1"/>
  <c r="AE25" i="1"/>
  <c r="AI22" i="1"/>
  <c r="S4" i="1"/>
  <c r="L9" i="1"/>
  <c r="P13" i="1"/>
  <c r="T17" i="1"/>
  <c r="I22" i="1"/>
  <c r="P6" i="1"/>
  <c r="K3" i="1"/>
  <c r="O7" i="1"/>
  <c r="H12" i="1"/>
  <c r="L16" i="1"/>
  <c r="P20" i="1"/>
  <c r="T24" i="1"/>
  <c r="I11" i="1"/>
  <c r="Q4" i="1"/>
  <c r="J9" i="1"/>
  <c r="R13" i="1"/>
  <c r="G18" i="1"/>
  <c r="K22" i="1"/>
  <c r="R4" i="1"/>
  <c r="J28" i="1"/>
  <c r="J27" i="1"/>
  <c r="AC11" i="1"/>
  <c r="AL17" i="1"/>
  <c r="AT20" i="1"/>
  <c r="W19" i="1"/>
  <c r="AJ12" i="1"/>
  <c r="Y22" i="1"/>
  <c r="AW17" i="1"/>
  <c r="AJ21" i="1"/>
  <c r="AW23" i="1"/>
  <c r="AY25" i="1"/>
  <c r="W24" i="1"/>
  <c r="I6" i="1"/>
  <c r="Q10" i="1"/>
  <c r="F15" i="1"/>
  <c r="J19" i="1"/>
  <c r="N23" i="1"/>
  <c r="P10" i="1"/>
  <c r="P4" i="1"/>
  <c r="I9" i="1"/>
  <c r="M13" i="1"/>
  <c r="Q17" i="1"/>
  <c r="F22" i="1"/>
  <c r="M3" i="1"/>
  <c r="I15" i="1"/>
  <c r="G6" i="1"/>
  <c r="O10" i="1"/>
  <c r="H15" i="1"/>
  <c r="L19" i="1"/>
  <c r="P23" i="1"/>
  <c r="J8" i="1"/>
  <c r="AX27" i="1"/>
  <c r="AU19" i="1"/>
  <c r="AO21" i="1"/>
  <c r="M6" i="1"/>
  <c r="R23" i="1"/>
  <c r="Q13" i="1"/>
  <c r="Q15" i="1"/>
  <c r="P19" i="1"/>
  <c r="J20" i="1"/>
  <c r="Q19" i="1"/>
  <c r="D14" i="1"/>
  <c r="E6" i="1"/>
  <c r="D15" i="1"/>
  <c r="C23" i="1"/>
  <c r="AW18" i="1"/>
  <c r="O18" i="1"/>
  <c r="J24" i="1"/>
  <c r="D16" i="1"/>
  <c r="AE12" i="1"/>
  <c r="AC21" i="1"/>
  <c r="AL24" i="1"/>
  <c r="G12" i="1"/>
  <c r="T14" i="1"/>
  <c r="G19" i="1"/>
  <c r="P7" i="1"/>
  <c r="F25" i="1"/>
  <c r="O25" i="1"/>
  <c r="G25" i="1"/>
  <c r="C21" i="1"/>
  <c r="D13" i="1"/>
  <c r="D8" i="1"/>
  <c r="E12" i="1"/>
  <c r="AC19" i="1"/>
  <c r="L5" i="1"/>
  <c r="I21" i="1"/>
  <c r="M23" i="1"/>
  <c r="C16" i="1"/>
  <c r="AO26" i="1"/>
  <c r="AQ16" i="1"/>
  <c r="AA20" i="1"/>
  <c r="K4" i="1"/>
  <c r="P21" i="1"/>
  <c r="O11" i="1"/>
  <c r="O9" i="1"/>
  <c r="N17" i="1"/>
  <c r="T18" i="1"/>
  <c r="I23" i="1"/>
  <c r="E11" i="1"/>
  <c r="E24" i="1"/>
  <c r="D25" i="1"/>
  <c r="D20" i="1"/>
  <c r="V6" i="1"/>
  <c r="AK23" i="1"/>
  <c r="S3" i="1"/>
  <c r="S22" i="1"/>
  <c r="E23" i="1"/>
  <c r="C6" i="1"/>
  <c r="AP26" i="1"/>
  <c r="X8" i="1"/>
  <c r="AB12" i="1"/>
  <c r="AX25" i="1"/>
  <c r="N26" i="1"/>
  <c r="AS16" i="1"/>
  <c r="AV16" i="1"/>
  <c r="AY19" i="1"/>
  <c r="K28" i="1"/>
  <c r="AI12" i="1"/>
  <c r="Z13" i="1"/>
  <c r="AH21" i="1"/>
  <c r="AN20" i="1"/>
  <c r="R19" i="1"/>
  <c r="Q9" i="1"/>
  <c r="G5" i="1"/>
  <c r="P15" i="1"/>
  <c r="J25" i="1"/>
  <c r="V26" i="1"/>
  <c r="V17" i="1"/>
  <c r="Y17" i="1"/>
  <c r="W20" i="1"/>
  <c r="AD21" i="1"/>
  <c r="AU25" i="1"/>
  <c r="T5" i="1"/>
  <c r="F19" i="1"/>
  <c r="S9" i="1"/>
  <c r="T8" i="1"/>
  <c r="Q21" i="1"/>
  <c r="R5" i="1"/>
  <c r="H19" i="1"/>
  <c r="I7" i="1"/>
  <c r="Z11" i="1"/>
  <c r="AW21" i="1"/>
  <c r="AH19" i="1"/>
  <c r="AK17" i="1"/>
  <c r="R11" i="1"/>
  <c r="O24" i="1"/>
  <c r="Q5" i="1"/>
  <c r="R18" i="1"/>
  <c r="H18" i="1"/>
  <c r="T11" i="1"/>
  <c r="Q24" i="1"/>
  <c r="AJ16" i="1"/>
  <c r="F11" i="1"/>
  <c r="K6" i="1"/>
  <c r="F24" i="1"/>
  <c r="C12" i="1"/>
  <c r="N8" i="1"/>
  <c r="E20" i="1"/>
  <c r="AU24" i="1"/>
  <c r="F6" i="1"/>
  <c r="K13" i="1"/>
  <c r="C5" i="1"/>
  <c r="E13" i="1"/>
  <c r="AP25" i="1"/>
  <c r="R12" i="1"/>
  <c r="V8" i="1"/>
  <c r="O8" i="1"/>
  <c r="I4" i="1"/>
  <c r="L22" i="1"/>
  <c r="D9" i="1"/>
  <c r="AN15" i="1"/>
  <c r="I19" i="1"/>
  <c r="C8" i="2"/>
  <c r="C6" i="2"/>
  <c r="C4" i="2"/>
  <c r="C7" i="2"/>
  <c r="C5" i="2"/>
  <c r="H20" i="3" l="1"/>
  <c r="AM16" i="3"/>
  <c r="C10" i="3"/>
  <c r="K23" i="3"/>
  <c r="H5" i="3"/>
  <c r="N9" i="3"/>
  <c r="U9" i="3"/>
  <c r="Q13" i="3"/>
  <c r="AO26" i="3"/>
  <c r="D14" i="3"/>
  <c r="B6" i="3"/>
  <c r="J14" i="3"/>
  <c r="E7" i="3"/>
  <c r="AT25" i="3"/>
  <c r="D21" i="3"/>
  <c r="M9" i="3"/>
  <c r="B13" i="3"/>
  <c r="E25" i="3"/>
  <c r="J7" i="3"/>
  <c r="E12" i="3"/>
  <c r="AI17" i="3"/>
  <c r="P25" i="3"/>
  <c r="S12" i="3"/>
  <c r="G19" i="3"/>
  <c r="Q19" i="3"/>
  <c r="P6" i="3"/>
  <c r="N25" i="3"/>
  <c r="Q12" i="3"/>
  <c r="AJ18" i="3"/>
  <c r="AG20" i="3"/>
  <c r="AV22" i="3"/>
  <c r="Y12" i="3"/>
  <c r="H8" i="3"/>
  <c r="G20" i="3"/>
  <c r="Q6" i="3"/>
  <c r="P22" i="3"/>
  <c r="S9" i="3"/>
  <c r="R10" i="3"/>
  <c r="E20" i="3"/>
  <c r="S6" i="3"/>
  <c r="AT26" i="3"/>
  <c r="AC22" i="3"/>
  <c r="V21" i="3"/>
  <c r="X18" i="3"/>
  <c r="U18" i="3"/>
  <c r="U27" i="3"/>
  <c r="I26" i="3"/>
  <c r="O16" i="3"/>
  <c r="F6" i="3"/>
  <c r="P10" i="3"/>
  <c r="Q20" i="3"/>
  <c r="AM21" i="3"/>
  <c r="AG22" i="3"/>
  <c r="Y14" i="3"/>
  <c r="AH13" i="3"/>
  <c r="J29" i="3"/>
  <c r="AX20" i="3"/>
  <c r="AU17" i="3"/>
  <c r="AR17" i="3"/>
  <c r="M27" i="3"/>
  <c r="AW26" i="3"/>
  <c r="AA13" i="3"/>
  <c r="W9" i="3"/>
  <c r="AO27" i="3"/>
  <c r="B7" i="3"/>
  <c r="D24" i="3"/>
  <c r="R23" i="3"/>
  <c r="R4" i="3"/>
  <c r="AJ24" i="3"/>
  <c r="U7" i="3"/>
  <c r="C21" i="3"/>
  <c r="C26" i="3"/>
  <c r="D25" i="3"/>
  <c r="D12" i="3"/>
  <c r="H24" i="3"/>
  <c r="S19" i="3"/>
  <c r="M18" i="3"/>
  <c r="N10" i="3"/>
  <c r="N12" i="3"/>
  <c r="O22" i="3"/>
  <c r="J5" i="3"/>
  <c r="Z21" i="3"/>
  <c r="AP17" i="3"/>
  <c r="AN27" i="3"/>
  <c r="B17" i="3"/>
  <c r="L24" i="3"/>
  <c r="H22" i="3"/>
  <c r="K6" i="3"/>
  <c r="AB20" i="3"/>
  <c r="D13" i="3"/>
  <c r="C9" i="3"/>
  <c r="C14" i="3"/>
  <c r="B22" i="3"/>
  <c r="F26" i="3"/>
  <c r="N26" i="3"/>
  <c r="E26" i="3"/>
  <c r="O8" i="3"/>
  <c r="F20" i="3"/>
  <c r="S15" i="3"/>
  <c r="F13" i="3"/>
  <c r="AK25" i="3"/>
  <c r="AB22" i="3"/>
  <c r="AD13" i="3"/>
  <c r="C17" i="3"/>
  <c r="I25" i="3"/>
  <c r="N19" i="3"/>
  <c r="AV19" i="3"/>
  <c r="B24" i="3"/>
  <c r="C16" i="3"/>
  <c r="D7" i="3"/>
  <c r="C15" i="3"/>
  <c r="P20" i="3"/>
  <c r="I21" i="3"/>
  <c r="O20" i="3"/>
  <c r="P16" i="3"/>
  <c r="P14" i="3"/>
  <c r="Q24" i="3"/>
  <c r="L7" i="3"/>
  <c r="AN22" i="3"/>
  <c r="AT20" i="3"/>
  <c r="AW28" i="3"/>
  <c r="I9" i="3"/>
  <c r="O24" i="3"/>
  <c r="K20" i="3"/>
  <c r="G16" i="3"/>
  <c r="N11" i="3"/>
  <c r="F7" i="3"/>
  <c r="H16" i="3"/>
  <c r="L4" i="3"/>
  <c r="E23" i="3"/>
  <c r="P18" i="3"/>
  <c r="L14" i="3"/>
  <c r="H10" i="3"/>
  <c r="O5" i="3"/>
  <c r="O11" i="3"/>
  <c r="M24" i="3"/>
  <c r="I20" i="3"/>
  <c r="E16" i="3"/>
  <c r="P11" i="3"/>
  <c r="H7" i="3"/>
  <c r="V25" i="3"/>
  <c r="AX26" i="3"/>
  <c r="AV24" i="3"/>
  <c r="AI22" i="3"/>
  <c r="AV18" i="3"/>
  <c r="X23" i="3"/>
  <c r="AI13" i="3"/>
  <c r="V20" i="3"/>
  <c r="AS21" i="3"/>
  <c r="AK18" i="3"/>
  <c r="AB12" i="3"/>
  <c r="I28" i="3"/>
  <c r="I29" i="3"/>
  <c r="Q5" i="3"/>
  <c r="J23" i="3"/>
  <c r="F19" i="3"/>
  <c r="Q14" i="3"/>
  <c r="I10" i="3"/>
  <c r="P5" i="3"/>
  <c r="H12" i="3"/>
  <c r="S25" i="3"/>
  <c r="O21" i="3"/>
  <c r="K17" i="3"/>
  <c r="G13" i="3"/>
  <c r="N8" i="3"/>
  <c r="J4" i="3"/>
  <c r="O7" i="3"/>
  <c r="H23" i="3"/>
  <c r="S18" i="3"/>
  <c r="O14" i="3"/>
  <c r="K10" i="3"/>
  <c r="R5" i="3"/>
  <c r="AH23" i="3"/>
  <c r="AD26" i="3"/>
  <c r="AB24" i="3"/>
  <c r="AJ21" i="3"/>
  <c r="V16" i="3"/>
  <c r="AN25" i="3"/>
  <c r="AN26" i="3"/>
  <c r="AU18" i="3"/>
  <c r="AA19" i="3"/>
  <c r="AC14" i="3"/>
  <c r="V9" i="3"/>
  <c r="X28" i="3"/>
  <c r="S11" i="3"/>
  <c r="H25" i="3"/>
  <c r="S20" i="3"/>
  <c r="L13" i="3"/>
  <c r="G4" i="3"/>
  <c r="N24" i="3"/>
  <c r="F16" i="3"/>
  <c r="I7" i="3"/>
  <c r="G26" i="3"/>
  <c r="N17" i="3"/>
  <c r="AE26" i="3"/>
  <c r="AO19" i="3"/>
  <c r="AT22" i="3"/>
  <c r="R27" i="3"/>
  <c r="AB18" i="3"/>
  <c r="W21" i="3"/>
  <c r="AH22" i="3"/>
  <c r="Z19" i="3"/>
  <c r="AG13" i="3"/>
  <c r="M29" i="3"/>
  <c r="AO29" i="3"/>
  <c r="AN29" i="3"/>
  <c r="AJ25" i="3"/>
  <c r="AJ26" i="3"/>
  <c r="AQ18" i="3"/>
  <c r="W19" i="3"/>
  <c r="U14" i="3"/>
  <c r="U8" i="3"/>
  <c r="T28" i="3"/>
  <c r="AM29" i="3"/>
  <c r="AU24" i="3"/>
  <c r="AU25" i="3"/>
  <c r="W18" i="3"/>
  <c r="AH18" i="3"/>
  <c r="U6" i="3"/>
  <c r="V10" i="3"/>
  <c r="AV27" i="3"/>
  <c r="S29" i="3"/>
  <c r="D11" i="3"/>
  <c r="U24" i="3"/>
  <c r="C24" i="3"/>
  <c r="B18" i="3"/>
  <c r="Q22" i="3"/>
  <c r="S26" i="3"/>
  <c r="T24" i="3"/>
  <c r="D6" i="3"/>
  <c r="H15" i="3"/>
  <c r="D19" i="3"/>
  <c r="M21" i="3"/>
  <c r="J24" i="3"/>
  <c r="J17" i="3"/>
  <c r="AF14" i="3"/>
  <c r="C19" i="3"/>
  <c r="D9" i="3"/>
  <c r="D20" i="3"/>
  <c r="S24" i="3"/>
  <c r="E19" i="3"/>
  <c r="U25" i="3"/>
  <c r="I13" i="3"/>
  <c r="L21" i="3"/>
  <c r="K8" i="3"/>
  <c r="F24" i="3"/>
  <c r="M15" i="3"/>
  <c r="R14" i="3"/>
  <c r="F17" i="3"/>
  <c r="E4" i="3"/>
  <c r="AB23" i="3"/>
  <c r="AI21" i="3"/>
  <c r="AD12" i="3"/>
  <c r="V28" i="3"/>
  <c r="K24" i="3"/>
  <c r="J11" i="3"/>
  <c r="M26" i="3"/>
  <c r="L18" i="3"/>
  <c r="K5" i="3"/>
  <c r="I24" i="3"/>
  <c r="L11" i="3"/>
  <c r="AS24" i="3"/>
  <c r="AR24" i="3"/>
  <c r="AF18" i="3"/>
  <c r="AP25" i="3"/>
  <c r="AC21" i="3"/>
  <c r="T9" i="3"/>
  <c r="AG28" i="3"/>
  <c r="E22" i="3"/>
  <c r="N7" i="3"/>
  <c r="I19" i="3"/>
  <c r="M13" i="3"/>
  <c r="P7" i="3"/>
  <c r="AS29" i="3"/>
  <c r="AO23" i="3"/>
  <c r="Y15" i="3"/>
  <c r="V29" i="3"/>
  <c r="AU27" i="3"/>
  <c r="Z25" i="3"/>
  <c r="Y21" i="3"/>
  <c r="Y11" i="3"/>
  <c r="Y28" i="3"/>
  <c r="AO22" i="3"/>
  <c r="AJ20" i="3"/>
  <c r="X17" i="3"/>
  <c r="P29" i="3"/>
  <c r="B12" i="3"/>
  <c r="D8" i="3"/>
  <c r="Q10" i="3"/>
  <c r="L19" i="3"/>
  <c r="W17" i="3"/>
  <c r="D4" i="3"/>
  <c r="B16" i="3"/>
  <c r="B21" i="3"/>
  <c r="C12" i="3"/>
  <c r="C7" i="3"/>
  <c r="N22" i="3"/>
  <c r="G15" i="3"/>
  <c r="I14" i="3"/>
  <c r="K25" i="3"/>
  <c r="F8" i="3"/>
  <c r="K18" i="3"/>
  <c r="T22" i="3"/>
  <c r="AJ14" i="3"/>
  <c r="Z18" i="3"/>
  <c r="C5" i="3"/>
  <c r="B15" i="3"/>
  <c r="R6" i="3"/>
  <c r="K9" i="3"/>
  <c r="AL26" i="3"/>
  <c r="H29" i="3"/>
  <c r="C25" i="3"/>
  <c r="C20" i="3"/>
  <c r="B9" i="3"/>
  <c r="D16" i="3"/>
  <c r="Q21" i="3"/>
  <c r="J22" i="3"/>
  <c r="P21" i="3"/>
  <c r="K19" i="3"/>
  <c r="Q15" i="3"/>
  <c r="R25" i="3"/>
  <c r="M8" i="3"/>
  <c r="AG23" i="3"/>
  <c r="AJ23" i="3"/>
  <c r="N29" i="3"/>
  <c r="B11" i="3"/>
  <c r="O23" i="3"/>
  <c r="I6" i="3"/>
  <c r="B5" i="3"/>
  <c r="D18" i="3"/>
  <c r="D23" i="3"/>
  <c r="B19" i="3"/>
  <c r="B10" i="3"/>
  <c r="P24" i="3"/>
  <c r="F18" i="3"/>
  <c r="K16" i="3"/>
  <c r="M5" i="3"/>
  <c r="L10" i="3"/>
  <c r="M20" i="3"/>
  <c r="AH25" i="3"/>
  <c r="Y19" i="3"/>
  <c r="AD22" i="3"/>
  <c r="AK29" i="3"/>
  <c r="J6" i="3"/>
  <c r="N23" i="3"/>
  <c r="J19" i="3"/>
  <c r="F15" i="3"/>
  <c r="M10" i="3"/>
  <c r="E6" i="3"/>
  <c r="E13" i="3"/>
  <c r="H26" i="3"/>
  <c r="S21" i="3"/>
  <c r="O17" i="3"/>
  <c r="K13" i="3"/>
  <c r="R8" i="3"/>
  <c r="N4" i="3"/>
  <c r="P8" i="3"/>
  <c r="L23" i="3"/>
  <c r="H19" i="3"/>
  <c r="S14" i="3"/>
  <c r="O10" i="3"/>
  <c r="G6" i="3"/>
  <c r="AV23" i="3"/>
  <c r="AH26" i="3"/>
  <c r="AF24" i="3"/>
  <c r="AP21" i="3"/>
  <c r="AQ16" i="3"/>
  <c r="Y26" i="3"/>
  <c r="AS19" i="3"/>
  <c r="AF19" i="3"/>
  <c r="AQ19" i="3"/>
  <c r="AI15" i="3"/>
  <c r="T11" i="3"/>
  <c r="AN28" i="3"/>
  <c r="O15" i="3"/>
  <c r="Q26" i="3"/>
  <c r="I22" i="3"/>
  <c r="E18" i="3"/>
  <c r="P13" i="3"/>
  <c r="H9" i="3"/>
  <c r="K4" i="3"/>
  <c r="E9" i="3"/>
  <c r="R24" i="3"/>
  <c r="N20" i="3"/>
  <c r="J16" i="3"/>
  <c r="F12" i="3"/>
  <c r="M7" i="3"/>
  <c r="Q17" i="3"/>
  <c r="K26" i="3"/>
  <c r="G22" i="3"/>
  <c r="R17" i="3"/>
  <c r="N13" i="3"/>
  <c r="F9" i="3"/>
  <c r="Q4" i="3"/>
  <c r="AA21" i="3"/>
  <c r="AS25" i="3"/>
  <c r="AQ23" i="3"/>
  <c r="AW20" i="3"/>
  <c r="AM26" i="3"/>
  <c r="AK23" i="3"/>
  <c r="AL24" i="3"/>
  <c r="AE16" i="3"/>
  <c r="U17" i="3"/>
  <c r="AB15" i="3"/>
  <c r="B27" i="3"/>
  <c r="H27" i="3"/>
  <c r="K7" i="3"/>
  <c r="G24" i="3"/>
  <c r="Q18" i="3"/>
  <c r="K12" i="3"/>
  <c r="M17" i="3"/>
  <c r="M23" i="3"/>
  <c r="E15" i="3"/>
  <c r="H6" i="3"/>
  <c r="F25" i="3"/>
  <c r="M16" i="3"/>
  <c r="AH15" i="3"/>
  <c r="AW24" i="3"/>
  <c r="AL19" i="3"/>
  <c r="AS26" i="3"/>
  <c r="Y22" i="3"/>
  <c r="U10" i="3"/>
  <c r="AF20" i="3"/>
  <c r="T17" i="3"/>
  <c r="V8" i="3"/>
  <c r="L29" i="3"/>
  <c r="AG27" i="3"/>
  <c r="AQ28" i="3"/>
  <c r="AF23" i="3"/>
  <c r="AH24" i="3"/>
  <c r="Z16" i="3"/>
  <c r="AN16" i="3"/>
  <c r="X15" i="3"/>
  <c r="B28" i="3"/>
  <c r="D27" i="3"/>
  <c r="W28" i="3"/>
  <c r="AM22" i="3"/>
  <c r="AS23" i="3"/>
  <c r="AG14" i="3"/>
  <c r="AE15" i="3"/>
  <c r="W14" i="3"/>
  <c r="AD29" i="3"/>
  <c r="R29" i="3"/>
  <c r="C28" i="3"/>
  <c r="O13" i="3"/>
  <c r="D26" i="3"/>
  <c r="R22" i="3"/>
  <c r="R16" i="3"/>
  <c r="AM25" i="3"/>
  <c r="S23" i="3"/>
  <c r="D5" i="3"/>
  <c r="C8" i="3"/>
  <c r="H13" i="3"/>
  <c r="AC20" i="3"/>
  <c r="I17" i="3"/>
  <c r="B8" i="3"/>
  <c r="M25" i="3"/>
  <c r="P12" i="3"/>
  <c r="AC13" i="3"/>
  <c r="H17" i="3"/>
  <c r="G7" i="3"/>
  <c r="I11" i="3"/>
  <c r="J21" i="3"/>
  <c r="I8" i="3"/>
  <c r="AG25" i="3"/>
  <c r="AL25" i="3"/>
  <c r="AD11" i="3"/>
  <c r="Z28" i="3"/>
  <c r="R15" i="3"/>
  <c r="K15" i="3"/>
  <c r="H14" i="3"/>
  <c r="P15" i="3"/>
  <c r="AS22" i="3"/>
  <c r="C22" i="3"/>
  <c r="J26" i="3"/>
  <c r="L26" i="3"/>
  <c r="S10" i="3"/>
  <c r="AV21" i="3"/>
  <c r="D17" i="3"/>
  <c r="D10" i="3"/>
  <c r="D15" i="3"/>
  <c r="C23" i="3"/>
  <c r="F22" i="3"/>
  <c r="R26" i="3"/>
  <c r="P4" i="3"/>
  <c r="P9" i="3"/>
  <c r="G21" i="3"/>
  <c r="O19" i="3"/>
  <c r="G14" i="3"/>
  <c r="V26" i="3"/>
  <c r="AM24" i="3"/>
  <c r="AK16" i="3"/>
  <c r="D22" i="3"/>
  <c r="B14" i="3"/>
  <c r="J15" i="3"/>
  <c r="P23" i="3"/>
  <c r="AU21" i="3"/>
  <c r="B4" i="3"/>
  <c r="B20" i="3"/>
  <c r="B25" i="3"/>
  <c r="B23" i="3"/>
  <c r="C11" i="3"/>
  <c r="Q25" i="3"/>
  <c r="R18" i="3"/>
  <c r="L17" i="3"/>
  <c r="S7" i="3"/>
  <c r="M11" i="3"/>
  <c r="N21" i="3"/>
  <c r="I4" i="3"/>
  <c r="AL20" i="3"/>
  <c r="AF13" i="3"/>
  <c r="F29" i="3"/>
  <c r="C6" i="3"/>
  <c r="G23" i="3"/>
  <c r="S17" i="3"/>
  <c r="C4" i="3"/>
  <c r="B1" i="3" s="1"/>
  <c r="C13" i="3"/>
  <c r="C18" i="3"/>
  <c r="B26" i="3"/>
  <c r="E21" i="3"/>
  <c r="L20" i="3"/>
  <c r="F10" i="3"/>
  <c r="R11" i="3"/>
  <c r="I23" i="3"/>
  <c r="S5" i="3"/>
  <c r="I16" i="3"/>
  <c r="Z12" i="3"/>
  <c r="AN23" i="3"/>
  <c r="V19" i="3"/>
  <c r="L16" i="3"/>
  <c r="H4" i="3"/>
  <c r="M22" i="3"/>
  <c r="I18" i="3"/>
  <c r="E14" i="3"/>
  <c r="L9" i="3"/>
  <c r="O4" i="3"/>
  <c r="Q9" i="3"/>
  <c r="G25" i="3"/>
  <c r="R20" i="3"/>
  <c r="N16" i="3"/>
  <c r="J12" i="3"/>
  <c r="Q7" i="3"/>
  <c r="N18" i="3"/>
  <c r="O26" i="3"/>
  <c r="K22" i="3"/>
  <c r="G18" i="3"/>
  <c r="R13" i="3"/>
  <c r="J9" i="3"/>
  <c r="F5" i="3"/>
  <c r="AQ21" i="3"/>
  <c r="AW25" i="3"/>
  <c r="AU23" i="3"/>
  <c r="T21" i="3"/>
  <c r="AU26" i="3"/>
  <c r="W24" i="3"/>
  <c r="W25" i="3"/>
  <c r="Z17" i="3"/>
  <c r="AK17" i="3"/>
  <c r="U16" i="3"/>
  <c r="G9" i="3"/>
  <c r="X27" i="3"/>
  <c r="L12" i="3"/>
  <c r="L25" i="3"/>
  <c r="H21" i="3"/>
  <c r="S16" i="3"/>
  <c r="O12" i="3"/>
  <c r="R7" i="3"/>
  <c r="J18" i="3"/>
  <c r="N6" i="3"/>
  <c r="Q23" i="3"/>
  <c r="M19" i="3"/>
  <c r="I15" i="3"/>
  <c r="E11" i="3"/>
  <c r="L6" i="3"/>
  <c r="F14" i="3"/>
  <c r="J25" i="3"/>
  <c r="F21" i="3"/>
  <c r="Q16" i="3"/>
  <c r="M12" i="3"/>
  <c r="E8" i="3"/>
  <c r="AQ26" i="3"/>
  <c r="AA16" i="3"/>
  <c r="AC25" i="3"/>
  <c r="V23" i="3"/>
  <c r="Z20" i="3"/>
  <c r="AD25" i="3"/>
  <c r="AP20" i="3"/>
  <c r="AA22" i="3"/>
  <c r="AE23" i="3"/>
  <c r="W20" i="3"/>
  <c r="V7" i="3"/>
  <c r="AH27" i="3"/>
  <c r="AT27" i="3"/>
  <c r="E5" i="3"/>
  <c r="F23" i="3"/>
  <c r="P17" i="3"/>
  <c r="S8" i="3"/>
  <c r="L8" i="3"/>
  <c r="J20" i="3"/>
  <c r="Q11" i="3"/>
  <c r="E17" i="3"/>
  <c r="R21" i="3"/>
  <c r="I12" i="3"/>
  <c r="Y25" i="3"/>
  <c r="AK19" i="3"/>
  <c r="AD14" i="3"/>
  <c r="AQ24" i="3"/>
  <c r="AQ25" i="3"/>
  <c r="AT17" i="3"/>
  <c r="AD18" i="3"/>
  <c r="AO16" i="3"/>
  <c r="Y9" i="3"/>
  <c r="AR27" i="3"/>
  <c r="O29" i="3"/>
  <c r="AA27" i="3"/>
  <c r="AK20" i="3"/>
  <c r="U22" i="3"/>
  <c r="AA23" i="3"/>
  <c r="AX19" i="3"/>
  <c r="AA15" i="3"/>
  <c r="V27" i="3"/>
  <c r="AL27" i="3"/>
  <c r="G27" i="3"/>
  <c r="AR18" i="3"/>
  <c r="AB21" i="3"/>
  <c r="AL22" i="3"/>
  <c r="AD19" i="3"/>
  <c r="V14" i="3"/>
  <c r="Y29" i="3"/>
  <c r="AW29" i="3"/>
  <c r="M14" i="3"/>
  <c r="E10" i="3"/>
  <c r="L5" i="3"/>
  <c r="K11" i="3"/>
  <c r="O25" i="3"/>
  <c r="K21" i="3"/>
  <c r="G17" i="3"/>
  <c r="R12" i="3"/>
  <c r="J8" i="3"/>
  <c r="F4" i="3"/>
  <c r="I5" i="3"/>
  <c r="S22" i="3"/>
  <c r="O18" i="3"/>
  <c r="K14" i="3"/>
  <c r="R9" i="3"/>
  <c r="N5" i="3"/>
  <c r="AJ22" i="3"/>
  <c r="Z26" i="3"/>
  <c r="X24" i="3"/>
  <c r="AE21" i="3"/>
  <c r="AC15" i="3"/>
  <c r="X25" i="3"/>
  <c r="X26" i="3"/>
  <c r="AE18" i="3"/>
  <c r="AP18" i="3"/>
  <c r="AA12" i="3"/>
  <c r="W11" i="3"/>
  <c r="H28" i="3"/>
  <c r="AL21" i="3"/>
  <c r="AR25" i="3"/>
  <c r="AP23" i="3"/>
  <c r="AU20" i="3"/>
  <c r="AX25" i="3"/>
  <c r="AR26" i="3"/>
  <c r="AP24" i="3"/>
  <c r="AF22" i="3"/>
  <c r="AN18" i="3"/>
  <c r="T19" i="3"/>
  <c r="AJ16" i="3"/>
  <c r="AI23" i="3"/>
  <c r="AG21" i="3"/>
  <c r="AE19" i="3"/>
  <c r="Y17" i="3"/>
  <c r="AA20" i="3"/>
  <c r="Y18" i="3"/>
  <c r="AK14" i="3"/>
  <c r="AF15" i="3"/>
  <c r="X9" i="3"/>
  <c r="V11" i="3"/>
  <c r="Z9" i="3"/>
  <c r="G12" i="3"/>
  <c r="AP27" i="3"/>
  <c r="AC27" i="3"/>
  <c r="AB28" i="3"/>
  <c r="L27" i="3"/>
  <c r="F28" i="3"/>
  <c r="AO28" i="3"/>
  <c r="AU29" i="3"/>
  <c r="AE28" i="3"/>
  <c r="O27" i="3"/>
  <c r="AA29" i="3"/>
  <c r="K28" i="3"/>
  <c r="AK24" i="3"/>
  <c r="AK26" i="3"/>
  <c r="AI24" i="3"/>
  <c r="W22" i="3"/>
  <c r="AL16" i="3"/>
  <c r="AF21" i="3"/>
  <c r="AI25" i="3"/>
  <c r="AD23" i="3"/>
  <c r="AO20" i="3"/>
  <c r="AR19" i="3"/>
  <c r="AL17" i="3"/>
  <c r="X13" i="3"/>
  <c r="Z22" i="3"/>
  <c r="X20" i="3"/>
  <c r="V18" i="3"/>
  <c r="X14" i="3"/>
  <c r="AW18" i="3"/>
  <c r="AH16" i="3"/>
  <c r="AG16" i="3"/>
  <c r="Z13" i="3"/>
  <c r="Y13" i="3"/>
  <c r="T6" i="3"/>
  <c r="X8" i="3"/>
  <c r="AX28" i="3"/>
  <c r="AK28" i="3"/>
  <c r="D29" i="3"/>
  <c r="AJ27" i="3"/>
  <c r="AT28" i="3"/>
  <c r="AC29" i="3"/>
  <c r="Q27" i="3"/>
  <c r="G29" i="3"/>
  <c r="AM27" i="3"/>
  <c r="AE22" i="3"/>
  <c r="AV25" i="3"/>
  <c r="AT23" i="3"/>
  <c r="X21" i="3"/>
  <c r="W26" i="3"/>
  <c r="AV26" i="3"/>
  <c r="AT24" i="3"/>
  <c r="AK22" i="3"/>
  <c r="AG19" i="3"/>
  <c r="X19" i="3"/>
  <c r="AP16" i="3"/>
  <c r="AM23" i="3"/>
  <c r="AK21" i="3"/>
  <c r="AI19" i="3"/>
  <c r="AC17" i="3"/>
  <c r="AC11" i="3"/>
  <c r="AC18" i="3"/>
  <c r="V15" i="3"/>
  <c r="AJ15" i="3"/>
  <c r="Z11" i="3"/>
  <c r="T12" i="3"/>
  <c r="W10" i="3"/>
  <c r="G11" i="3"/>
  <c r="AX27" i="3"/>
  <c r="AK27" i="3"/>
  <c r="AF28" i="3"/>
  <c r="P27" i="3"/>
  <c r="N28" i="3"/>
  <c r="AS28" i="3"/>
  <c r="X29" i="3"/>
  <c r="AI28" i="3"/>
  <c r="S27" i="3"/>
  <c r="J13" i="3"/>
  <c r="Q8" i="3"/>
  <c r="M4" i="3"/>
  <c r="AS20" i="3"/>
  <c r="AO25" i="3"/>
  <c r="AL23" i="3"/>
  <c r="AQ20" i="3"/>
  <c r="AA26" i="3"/>
  <c r="AW22" i="3"/>
  <c r="V24" i="3"/>
  <c r="AG15" i="3"/>
  <c r="X16" i="3"/>
  <c r="AE14" i="3"/>
  <c r="AT29" i="3"/>
  <c r="AH29" i="3"/>
  <c r="AC19" i="3"/>
  <c r="AB25" i="3"/>
  <c r="U23" i="3"/>
  <c r="Y20" i="3"/>
  <c r="Y24" i="3"/>
  <c r="AB26" i="3"/>
  <c r="Z24" i="3"/>
  <c r="AR21" i="3"/>
  <c r="AF16" i="3"/>
  <c r="AI18" i="3"/>
  <c r="AL15" i="3"/>
  <c r="AX22" i="3"/>
  <c r="AV20" i="3"/>
  <c r="AT18" i="3"/>
  <c r="AD16" i="3"/>
  <c r="AP19" i="3"/>
  <c r="AJ17" i="3"/>
  <c r="T13" i="3"/>
  <c r="AI14" i="3"/>
  <c r="AH14" i="3"/>
  <c r="AB10" i="3"/>
  <c r="AA11" i="3"/>
  <c r="E27" i="3"/>
  <c r="J27" i="3"/>
  <c r="AJ29" i="3"/>
  <c r="L28" i="3"/>
  <c r="AP29" i="3"/>
  <c r="Z27" i="3"/>
  <c r="M28" i="3"/>
  <c r="AE29" i="3"/>
  <c r="O28" i="3"/>
  <c r="Y27" i="3"/>
  <c r="K29" i="3"/>
  <c r="AQ27" i="3"/>
  <c r="AU22" i="3"/>
  <c r="U26" i="3"/>
  <c r="AX23" i="3"/>
  <c r="AD21" i="3"/>
  <c r="AI26" i="3"/>
  <c r="AA17" i="3"/>
  <c r="AX24" i="3"/>
  <c r="AQ22" i="3"/>
  <c r="AW19" i="3"/>
  <c r="AB19" i="3"/>
  <c r="V17" i="3"/>
  <c r="W8" i="3"/>
  <c r="AO21" i="3"/>
  <c r="AM19" i="3"/>
  <c r="AG17" i="3"/>
  <c r="V12" i="3"/>
  <c r="AG18" i="3"/>
  <c r="AD15" i="3"/>
  <c r="AN15" i="3"/>
  <c r="U12" i="3"/>
  <c r="X12" i="3"/>
  <c r="AA10" i="3"/>
  <c r="G10" i="3"/>
  <c r="J28" i="3"/>
  <c r="AW27" i="3"/>
  <c r="AJ28" i="3"/>
  <c r="T27" i="3"/>
  <c r="R28" i="3"/>
  <c r="E29" i="3"/>
  <c r="AF29" i="3"/>
  <c r="AM28" i="3"/>
  <c r="W27" i="3"/>
  <c r="AH20" i="3"/>
  <c r="AF25" i="3"/>
  <c r="Z23" i="3"/>
  <c r="AE20" i="3"/>
  <c r="AO24" i="3"/>
  <c r="AF26" i="3"/>
  <c r="AD24" i="3"/>
  <c r="AX21" i="3"/>
  <c r="AE17" i="3"/>
  <c r="AM18" i="3"/>
  <c r="T16" i="3"/>
  <c r="W23" i="3"/>
  <c r="U21" i="3"/>
  <c r="AX18" i="3"/>
  <c r="AI16" i="3"/>
  <c r="AT19" i="3"/>
  <c r="AN17" i="3"/>
  <c r="AB13" i="3"/>
  <c r="T15" i="3"/>
  <c r="W15" i="3"/>
  <c r="U11" i="3"/>
  <c r="T7" i="3"/>
  <c r="B29" i="3"/>
  <c r="N27" i="3"/>
  <c r="AV29" i="3"/>
  <c r="P28" i="3"/>
  <c r="AX29" i="3"/>
  <c r="AD27" i="3"/>
  <c r="Q28" i="3"/>
  <c r="AI29" i="3"/>
  <c r="S28" i="3"/>
  <c r="C27" i="3"/>
  <c r="R19" i="3"/>
  <c r="N15" i="3"/>
  <c r="F11" i="3"/>
  <c r="M6" i="3"/>
  <c r="N14" i="3"/>
  <c r="P26" i="3"/>
  <c r="L22" i="3"/>
  <c r="H18" i="3"/>
  <c r="S13" i="3"/>
  <c r="O9" i="3"/>
  <c r="G5" i="3"/>
  <c r="J10" i="3"/>
  <c r="E24" i="3"/>
  <c r="P19" i="3"/>
  <c r="L15" i="3"/>
  <c r="H11" i="3"/>
  <c r="O6" i="3"/>
  <c r="AG24" i="3"/>
  <c r="AP26" i="3"/>
  <c r="AN24" i="3"/>
  <c r="X22" i="3"/>
  <c r="AM17" i="3"/>
  <c r="T18" i="3"/>
  <c r="AR23" i="3"/>
  <c r="AM15" i="3"/>
  <c r="AR20" i="3"/>
  <c r="AF17" i="3"/>
  <c r="X10" i="3"/>
  <c r="AB29" i="3"/>
  <c r="E28" i="3"/>
  <c r="AC26" i="3"/>
  <c r="AA24" i="3"/>
  <c r="AN21" i="3"/>
  <c r="AB14" i="3"/>
  <c r="U20" i="3"/>
  <c r="AA25" i="3"/>
  <c r="T23" i="3"/>
  <c r="AD20" i="3"/>
  <c r="AJ19" i="3"/>
  <c r="AD17" i="3"/>
  <c r="W12" i="3"/>
  <c r="AW21" i="3"/>
  <c r="AU19" i="3"/>
  <c r="AO17" i="3"/>
  <c r="W13" i="3"/>
  <c r="AO18" i="3"/>
  <c r="W16" i="3"/>
  <c r="Y16" i="3"/>
  <c r="AC12" i="3"/>
  <c r="AF12" i="3"/>
  <c r="X11" i="3"/>
  <c r="G8" i="3"/>
  <c r="AD28" i="3"/>
  <c r="U28" i="3"/>
  <c r="AR28" i="3"/>
  <c r="AB27" i="3"/>
  <c r="AH28" i="3"/>
  <c r="Q29" i="3"/>
  <c r="AR29" i="3"/>
  <c r="AU28" i="3"/>
  <c r="AE27" i="3"/>
  <c r="AQ29" i="3"/>
  <c r="AA28" i="3"/>
  <c r="K27" i="3"/>
  <c r="AQ17" i="3"/>
  <c r="T25" i="3"/>
  <c r="AR22" i="3"/>
  <c r="U19" i="3"/>
  <c r="AC23" i="3"/>
  <c r="T26" i="3"/>
  <c r="AW23" i="3"/>
  <c r="AH21" i="3"/>
  <c r="T14" i="3"/>
  <c r="AA18" i="3"/>
  <c r="Z15" i="3"/>
  <c r="AP22" i="3"/>
  <c r="AN20" i="3"/>
  <c r="AL18" i="3"/>
  <c r="AK15" i="3"/>
  <c r="AH19" i="3"/>
  <c r="AB17" i="3"/>
  <c r="Y10" i="3"/>
  <c r="AA14" i="3"/>
  <c r="Z14" i="3"/>
  <c r="T10" i="3"/>
  <c r="Z10" i="3"/>
  <c r="AL29" i="3"/>
  <c r="AG29" i="3"/>
  <c r="T29" i="3"/>
  <c r="D28" i="3"/>
  <c r="Z29" i="3"/>
  <c r="F27" i="3"/>
  <c r="AS27" i="3"/>
  <c r="W29" i="3"/>
  <c r="G28" i="3"/>
  <c r="AC24" i="3"/>
  <c r="AG26" i="3"/>
  <c r="AE24" i="3"/>
  <c r="AT21" i="3"/>
  <c r="U15" i="3"/>
  <c r="AM20" i="3"/>
  <c r="AE25" i="3"/>
  <c r="Y23" i="3"/>
  <c r="AI20" i="3"/>
  <c r="AN19" i="3"/>
  <c r="AH17" i="3"/>
  <c r="AE12" i="3"/>
  <c r="V22" i="3"/>
  <c r="T20" i="3"/>
  <c r="AS17" i="3"/>
  <c r="AE13" i="3"/>
  <c r="AS18" i="3"/>
  <c r="AB16" i="3"/>
  <c r="AC16" i="3"/>
  <c r="V13" i="3"/>
  <c r="U13" i="3"/>
  <c r="AB11" i="3"/>
  <c r="T8" i="3"/>
  <c r="AP28" i="3"/>
  <c r="AC28" i="3"/>
  <c r="AV28" i="3"/>
  <c r="AF27" i="3"/>
  <c r="AL28" i="3"/>
  <c r="U29" i="3"/>
  <c r="I27" i="3"/>
  <c r="C29" i="3"/>
  <c r="AI27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A0AB461-EB97-4B52-B1D5-B02FD3BA4C65}" keepAlive="1" name="Query - test-heat-index" description="Connection to the 'test-heat-index' query in the workbook." type="5" refreshedVersion="6" background="1" saveData="1">
    <dbPr connection="Provider=Microsoft.Mashup.OleDb.1;Data Source=$Workbook$;Location=test-heat-index;Extended Properties=&quot;&quot;" command="SELECT * FROM [test-heat-index]"/>
  </connection>
</connections>
</file>

<file path=xl/sharedStrings.xml><?xml version="1.0" encoding="utf-8"?>
<sst xmlns="http://schemas.openxmlformats.org/spreadsheetml/2006/main" count="88" uniqueCount="86">
  <si>
    <t>Test cases</t>
  </si>
  <si>
    <t>T &lt; 76</t>
  </si>
  <si>
    <t>T&gt; 126</t>
  </si>
  <si>
    <t>RH &lt; 0</t>
  </si>
  <si>
    <t>RH &gt; 100</t>
  </si>
  <si>
    <t>T&amp;RH valid</t>
  </si>
  <si>
    <t>Formula</t>
  </si>
  <si>
    <t>Result</t>
  </si>
  <si>
    <t>T/RH</t>
  </si>
  <si>
    <t>All Match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</si>
  <si>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</si>
  <si>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</si>
  <si>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</si>
  <si>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</si>
  <si>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</si>
  <si>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</si>
  <si>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</si>
  <si>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</si>
  <si>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</si>
  <si>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</si>
  <si>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</si>
  <si>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</si>
  <si>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</si>
  <si>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</si>
  <si>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</si>
  <si>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</si>
  <si>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Column17</t>
  </si>
  <si>
    <t>Column18</t>
  </si>
  <si>
    <t>Column19</t>
  </si>
  <si>
    <t>Column20</t>
  </si>
  <si>
    <t>Column21</t>
  </si>
  <si>
    <t>Column22</t>
  </si>
  <si>
    <t>Column23</t>
  </si>
  <si>
    <t>Column24</t>
  </si>
  <si>
    <t>Column25</t>
  </si>
  <si>
    <t>Column26</t>
  </si>
  <si>
    <t>Column27</t>
  </si>
  <si>
    <t>Column28</t>
  </si>
  <si>
    <t>Column29</t>
  </si>
  <si>
    <t>Column30</t>
  </si>
  <si>
    <t>Column31</t>
  </si>
  <si>
    <t>Column32</t>
  </si>
  <si>
    <t>Column33</t>
  </si>
  <si>
    <t>Column34</t>
  </si>
  <si>
    <t>Column35</t>
  </si>
  <si>
    <t>Column36</t>
  </si>
  <si>
    <t>Column37</t>
  </si>
  <si>
    <t>Column38</t>
  </si>
  <si>
    <t>Column39</t>
  </si>
  <si>
    <t>Column40</t>
  </si>
  <si>
    <t>Column41</t>
  </si>
  <si>
    <t>Column42</t>
  </si>
  <si>
    <t>Column43</t>
  </si>
  <si>
    <t>Column44</t>
  </si>
  <si>
    <t>Column45</t>
  </si>
  <si>
    <t>Column46</t>
  </si>
  <si>
    <t>Column47</t>
  </si>
  <si>
    <t>Column48</t>
  </si>
  <si>
    <t>Column49</t>
  </si>
  <si>
    <t>Column50</t>
  </si>
  <si>
    <t>126</t>
  </si>
  <si>
    <t>124</t>
  </si>
  <si>
    <t>122</t>
  </si>
  <si>
    <t>120</t>
  </si>
  <si>
    <t>118</t>
  </si>
  <si>
    <t>116</t>
  </si>
  <si>
    <t>114</t>
  </si>
  <si>
    <t>112</t>
  </si>
  <si>
    <t>110</t>
  </si>
  <si>
    <t>108</t>
  </si>
  <si>
    <t>106</t>
  </si>
  <si>
    <t>104</t>
  </si>
  <si>
    <t>102</t>
  </si>
  <si>
    <t>100</t>
  </si>
  <si>
    <t>98</t>
  </si>
  <si>
    <t>96</t>
  </si>
  <si>
    <t>94</t>
  </si>
  <si>
    <t>92</t>
  </si>
  <si>
    <t>90</t>
  </si>
  <si>
    <t>88</t>
  </si>
  <si>
    <t>86</t>
  </si>
  <si>
    <t>84</t>
  </si>
  <si>
    <t>82</t>
  </si>
  <si>
    <t>80</t>
  </si>
  <si>
    <t>78</t>
  </si>
  <si>
    <t>76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</si>
</sst>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4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rgb="FF3F3F3F"/>
      </right>
      <top/>
      <bottom/>
      <diagonal/>
    </border>
  </borders>
  <cellStyleXfs count="3">
    <xf numFmtId="0" fontId="0" fillId="0" borderId="0"/>
    <xf numFmtId="0" fontId="2" fillId="2" borderId="1" applyNumberFormat="0" applyAlignment="0" applyProtection="0"/>
    <xf numFmtId="0" fontId="1" fillId="0" borderId="2" applyNumberFormat="0" applyFill="0" applyAlignment="0" applyProtection="0"/>
  </cellStyleXfs>
  <cellXfs count="9">
    <xf numFmtId="0" fontId="0" fillId="0" borderId="0" xfId="0"/>
    <xf numFmtId="1" fontId="0" fillId="0" borderId="0" xfId="0" applyNumberFormat="1"/>
    <xf numFmtId="0" fontId="1" fillId="0" borderId="0" xfId="0" applyFont="1"/>
    <xf numFmtId="0" fontId="1" fillId="0" borderId="0" xfId="0" applyFont="1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" fontId="2" fillId="2" borderId="1" xfId="1" applyNumberFormat="1"/>
    <xf numFmtId="0" fontId="0" fillId="0" borderId="0" xfId="0" applyNumberFormat="1"/>
    <xf numFmtId="0" fontId="1" fillId="0" borderId="3" xfId="2" applyBorder="1"/>
  </cellXfs>
  <cellStyles count="3">
    <cellStyle name="Normal" xfId="0" builtinId="0"/>
    <cellStyle name="Output" xfId="1" builtinId="21"/>
    <cellStyle name="Total" xfId="2" builtinId="25"/>
  </cellStyles>
  <dxfs count="24">
    <dxf>
      <font>
        <color rgb="FF9C0006"/>
      </font>
      <fill>
        <patternFill>
          <bgColor rgb="FFFFC7CE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66FF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66FF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66FF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66FF"/>
        </patternFill>
      </fill>
    </dxf>
    <dxf>
      <numFmt numFmtId="0" formatCode="General"/>
    </dxf>
  </dxfs>
  <tableStyles count="0" defaultTableStyle="TableStyleMedium2" defaultPivotStyle="PivotStyleLight16"/>
  <colors>
    <mruColors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ED9A97E2-68F1-42D0-ABEB-F9D2157E8D7C}" autoFormatId="16" applyNumberFormats="0" applyBorderFormats="0" applyFontFormats="0" applyPatternFormats="0" applyAlignmentFormats="0" applyWidthHeightFormats="0">
  <queryTableRefresh nextId="51">
    <queryTableFields count="50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name="Column9" tableColumnId="9"/>
      <queryTableField id="10" name="Column10" tableColumnId="10"/>
      <queryTableField id="11" name="Column11" tableColumnId="11"/>
      <queryTableField id="12" name="Column12" tableColumnId="12"/>
      <queryTableField id="13" name="Column13" tableColumnId="13"/>
      <queryTableField id="14" name="Column14" tableColumnId="14"/>
      <queryTableField id="15" name="Column15" tableColumnId="15"/>
      <queryTableField id="16" name="Column16" tableColumnId="16"/>
      <queryTableField id="17" name="Column17" tableColumnId="17"/>
      <queryTableField id="18" name="Column18" tableColumnId="18"/>
      <queryTableField id="19" name="Column19" tableColumnId="19"/>
      <queryTableField id="20" name="Column20" tableColumnId="20"/>
      <queryTableField id="21" name="Column21" tableColumnId="21"/>
      <queryTableField id="22" name="Column22" tableColumnId="22"/>
      <queryTableField id="23" name="Column23" tableColumnId="23"/>
      <queryTableField id="24" name="Column24" tableColumnId="24"/>
      <queryTableField id="25" name="Column25" tableColumnId="25"/>
      <queryTableField id="26" name="Column26" tableColumnId="26"/>
      <queryTableField id="27" name="Column27" tableColumnId="27"/>
      <queryTableField id="28" name="Column28" tableColumnId="28"/>
      <queryTableField id="29" name="Column29" tableColumnId="29"/>
      <queryTableField id="30" name="Column30" tableColumnId="30"/>
      <queryTableField id="31" name="Column31" tableColumnId="31"/>
      <queryTableField id="32" name="Column32" tableColumnId="32"/>
      <queryTableField id="33" name="Column33" tableColumnId="33"/>
      <queryTableField id="34" name="Column34" tableColumnId="34"/>
      <queryTableField id="35" name="Column35" tableColumnId="35"/>
      <queryTableField id="36" name="Column36" tableColumnId="36"/>
      <queryTableField id="37" name="Column37" tableColumnId="37"/>
      <queryTableField id="38" name="Column38" tableColumnId="38"/>
      <queryTableField id="39" name="Column39" tableColumnId="39"/>
      <queryTableField id="40" name="Column40" tableColumnId="40"/>
      <queryTableField id="41" name="Column41" tableColumnId="41"/>
      <queryTableField id="42" name="Column42" tableColumnId="42"/>
      <queryTableField id="43" name="Column43" tableColumnId="43"/>
      <queryTableField id="44" name="Column44" tableColumnId="44"/>
      <queryTableField id="45" name="Column45" tableColumnId="45"/>
      <queryTableField id="46" name="Column46" tableColumnId="46"/>
      <queryTableField id="47" name="Column47" tableColumnId="47"/>
      <queryTableField id="48" name="Column48" tableColumnId="48"/>
      <queryTableField id="49" name="Column49" tableColumnId="49"/>
      <queryTableField id="50" name="Column50" tableColumnId="5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EF18DB1-5E64-4833-88B1-44B57F29D4C3}" name="test_heat_index" displayName="test_heat_index" ref="A1:AX28" tableType="queryTable" totalsRowShown="0">
  <autoFilter ref="A1:AX28" xr:uid="{8A0EC27D-1114-44E0-BC94-92B489AEA7D7}"/>
  <tableColumns count="50">
    <tableColumn id="1" xr3:uid="{BE5ECB43-E3AC-44E4-B305-19CF65024FA8}" uniqueName="1" name="Column1" queryTableFieldId="1" dataDxfId="23"/>
    <tableColumn id="2" xr3:uid="{2F80BB88-081B-4003-B874-9B9C6F31813E}" uniqueName="2" name="Column2" queryTableFieldId="2"/>
    <tableColumn id="3" xr3:uid="{8F8B5644-2349-42AC-9F0D-EC8ED23B2E11}" uniqueName="3" name="Column3" queryTableFieldId="3"/>
    <tableColumn id="4" xr3:uid="{D92CE3B7-44C3-4A28-830E-1E1FB3EB6789}" uniqueName="4" name="Column4" queryTableFieldId="4"/>
    <tableColumn id="5" xr3:uid="{EA739C37-FDD9-4CF9-996D-A120F5984F85}" uniqueName="5" name="Column5" queryTableFieldId="5"/>
    <tableColumn id="6" xr3:uid="{330AF83D-515E-433C-9DAC-2B13A99483F6}" uniqueName="6" name="Column6" queryTableFieldId="6"/>
    <tableColumn id="7" xr3:uid="{2F88F39D-E1C8-4179-8071-A54EF6684154}" uniqueName="7" name="Column7" queryTableFieldId="7"/>
    <tableColumn id="8" xr3:uid="{0C693EA9-ADAB-4E69-B31E-EB84F95FC7E7}" uniqueName="8" name="Column8" queryTableFieldId="8"/>
    <tableColumn id="9" xr3:uid="{7BB7EC0E-40FB-47C1-8EDA-8FB0CB89DCF5}" uniqueName="9" name="Column9" queryTableFieldId="9"/>
    <tableColumn id="10" xr3:uid="{43DF608E-6742-41E6-8E0E-B97B5DA04BCD}" uniqueName="10" name="Column10" queryTableFieldId="10"/>
    <tableColumn id="11" xr3:uid="{6C5A8413-299E-402D-9D4A-ADA8D6646C79}" uniqueName="11" name="Column11" queryTableFieldId="11"/>
    <tableColumn id="12" xr3:uid="{688DCE60-37ED-485B-BD01-741C4F641005}" uniqueName="12" name="Column12" queryTableFieldId="12"/>
    <tableColumn id="13" xr3:uid="{8DC8C910-313E-41EA-8C95-7C178845B40F}" uniqueName="13" name="Column13" queryTableFieldId="13"/>
    <tableColumn id="14" xr3:uid="{4C835DF2-EA18-4F06-8A7F-5AE1EC433162}" uniqueName="14" name="Column14" queryTableFieldId="14"/>
    <tableColumn id="15" xr3:uid="{2BD6283B-0BF4-43D6-9742-3FE75FFEA6E6}" uniqueName="15" name="Column15" queryTableFieldId="15"/>
    <tableColumn id="16" xr3:uid="{E74D5DF1-EFE0-4FBC-931E-E2C0EBC87DF5}" uniqueName="16" name="Column16" queryTableFieldId="16"/>
    <tableColumn id="17" xr3:uid="{CC787EC3-1C90-4F9E-A2BB-79DC0DA4C525}" uniqueName="17" name="Column17" queryTableFieldId="17"/>
    <tableColumn id="18" xr3:uid="{51A1D681-9711-4562-A8D9-EA0328AECAEB}" uniqueName="18" name="Column18" queryTableFieldId="18"/>
    <tableColumn id="19" xr3:uid="{F4EC89F6-8F79-46C0-A036-9D8AF0E76B18}" uniqueName="19" name="Column19" queryTableFieldId="19"/>
    <tableColumn id="20" xr3:uid="{C418AD82-79A0-4FE7-ABEC-1A9296C721BE}" uniqueName="20" name="Column20" queryTableFieldId="20"/>
    <tableColumn id="21" xr3:uid="{3DDCC454-8623-4954-9A5B-E3AE6E4A0F54}" uniqueName="21" name="Column21" queryTableFieldId="21"/>
    <tableColumn id="22" xr3:uid="{D80615B1-A73C-475C-B746-922D4306EA5E}" uniqueName="22" name="Column22" queryTableFieldId="22"/>
    <tableColumn id="23" xr3:uid="{A419B492-F170-4C28-8A0D-1D64FE5DCA30}" uniqueName="23" name="Column23" queryTableFieldId="23"/>
    <tableColumn id="24" xr3:uid="{FFA4577C-2C7C-4BF7-B8F6-1ACA9C782A6E}" uniqueName="24" name="Column24" queryTableFieldId="24"/>
    <tableColumn id="25" xr3:uid="{D43FC9E0-B61F-4CA4-9F30-658B7F1B4B26}" uniqueName="25" name="Column25" queryTableFieldId="25"/>
    <tableColumn id="26" xr3:uid="{B7FF7029-0350-4104-98C5-3E8848B84E32}" uniqueName="26" name="Column26" queryTableFieldId="26"/>
    <tableColumn id="27" xr3:uid="{400DAA4B-10B2-4F3B-B0C6-4BA8DFE64D13}" uniqueName="27" name="Column27" queryTableFieldId="27"/>
    <tableColumn id="28" xr3:uid="{1C81C1DA-C63C-4C29-9503-4A5D57C9E7A0}" uniqueName="28" name="Column28" queryTableFieldId="28"/>
    <tableColumn id="29" xr3:uid="{3B07C0BE-E8C8-4531-BD39-551BE1E46048}" uniqueName="29" name="Column29" queryTableFieldId="29"/>
    <tableColumn id="30" xr3:uid="{333E007F-0452-4BDF-A183-6F7218415D4C}" uniqueName="30" name="Column30" queryTableFieldId="30"/>
    <tableColumn id="31" xr3:uid="{B6E3431A-836D-441E-96B7-70D51F22476B}" uniqueName="31" name="Column31" queryTableFieldId="31"/>
    <tableColumn id="32" xr3:uid="{12CFB965-29A2-4ADC-AAF1-F7E9692A2572}" uniqueName="32" name="Column32" queryTableFieldId="32"/>
    <tableColumn id="33" xr3:uid="{77802BA1-B86A-4076-85C2-3E3163AE0112}" uniqueName="33" name="Column33" queryTableFieldId="33"/>
    <tableColumn id="34" xr3:uid="{0962135D-8EF1-40AD-8E57-4528F8E76EC1}" uniqueName="34" name="Column34" queryTableFieldId="34"/>
    <tableColumn id="35" xr3:uid="{54D411ED-9750-4DF9-BEA6-71EAE7C4EBF1}" uniqueName="35" name="Column35" queryTableFieldId="35"/>
    <tableColumn id="36" xr3:uid="{EFE406DB-D40A-433E-B7D0-4B77E1D8805D}" uniqueName="36" name="Column36" queryTableFieldId="36"/>
    <tableColumn id="37" xr3:uid="{21C2F442-1093-4918-8E65-31411312796C}" uniqueName="37" name="Column37" queryTableFieldId="37"/>
    <tableColumn id="38" xr3:uid="{42636F9A-65C7-44A3-ACD0-416106665C0D}" uniqueName="38" name="Column38" queryTableFieldId="38"/>
    <tableColumn id="39" xr3:uid="{ECA13E46-B5C7-44BE-B3A4-0FE9A02A0A5F}" uniqueName="39" name="Column39" queryTableFieldId="39"/>
    <tableColumn id="40" xr3:uid="{B1F87156-D420-4DAD-95D9-50094F18C8B5}" uniqueName="40" name="Column40" queryTableFieldId="40"/>
    <tableColumn id="41" xr3:uid="{23A99798-19B9-4542-AB2C-437F072FBBA6}" uniqueName="41" name="Column41" queryTableFieldId="41"/>
    <tableColumn id="42" xr3:uid="{5493A522-B199-4113-A5B5-0B1C5FDA7AA1}" uniqueName="42" name="Column42" queryTableFieldId="42"/>
    <tableColumn id="43" xr3:uid="{F5D001C0-A5EC-4F75-85D5-3C5595BB9BFA}" uniqueName="43" name="Column43" queryTableFieldId="43"/>
    <tableColumn id="44" xr3:uid="{37CBBAD3-6C2E-4348-890B-596B0FCC1462}" uniqueName="44" name="Column44" queryTableFieldId="44"/>
    <tableColumn id="45" xr3:uid="{8856F99E-27ED-4B80-8FD2-C30E8D6BD44B}" uniqueName="45" name="Column45" queryTableFieldId="45"/>
    <tableColumn id="46" xr3:uid="{5DBAA956-4D9B-4AF1-BAEC-9B16972B2863}" uniqueName="46" name="Column46" queryTableFieldId="46"/>
    <tableColumn id="47" xr3:uid="{AA3DDB2D-DE59-4DE5-9966-F635F61B8A6F}" uniqueName="47" name="Column47" queryTableFieldId="47"/>
    <tableColumn id="48" xr3:uid="{696072A5-FA8E-4934-8C47-72E26CA6FDC0}" uniqueName="48" name="Column48" queryTableFieldId="48"/>
    <tableColumn id="49" xr3:uid="{124104DD-ECB4-4398-8374-CDAEF01FA83D}" uniqueName="49" name="Column49" queryTableFieldId="49"/>
    <tableColumn id="50" xr3:uid="{95BCA9A8-B5A7-42A9-BA14-29C5105DF7BB}" uniqueName="50" name="Column50" queryTableFieldId="5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E4B939-C703-401E-A928-752DA6D00E6F}">
  <sheetPr codeName="Sheet1"/>
  <dimension ref="B2:CM30"/>
  <sheetViews>
    <sheetView tabSelected="1" zoomScale="96" zoomScaleNormal="96" workbookViewId="0">
      <pane xSplit="2" ySplit="2" topLeftCell="C3" activePane="bottomRight" state="frozen"/>
      <selection pane="topRight" activeCell="D1" sqref="D1"/>
      <selection pane="bottomLeft" activeCell="A3" sqref="A3"/>
      <selection pane="bottomRight" activeCell="F6" sqref="F6"/>
    </sheetView>
  </sheetViews>
  <sheetFormatPr defaultRowHeight="14.25" x14ac:dyDescent="0.45"/>
  <cols>
    <col min="1" max="1" width="4.06640625" customWidth="1"/>
    <col min="2" max="2" width="6.1328125" customWidth="1"/>
    <col min="3" max="51" width="3.73046875" style="5" bestFit="1" customWidth="1"/>
  </cols>
  <sheetData>
    <row r="2" spans="2:91" x14ac:dyDescent="0.45">
      <c r="B2" t="s">
        <v>8</v>
      </c>
      <c r="C2" s="3">
        <v>4</v>
      </c>
      <c r="D2" s="3">
        <v>6</v>
      </c>
      <c r="E2" s="3">
        <v>8</v>
      </c>
      <c r="F2" s="3">
        <v>10</v>
      </c>
      <c r="G2" s="3">
        <v>12</v>
      </c>
      <c r="H2" s="3">
        <v>14</v>
      </c>
      <c r="I2" s="3">
        <v>16</v>
      </c>
      <c r="J2" s="3">
        <v>18</v>
      </c>
      <c r="K2" s="3">
        <v>20</v>
      </c>
      <c r="L2" s="3">
        <v>22</v>
      </c>
      <c r="M2" s="3">
        <v>24</v>
      </c>
      <c r="N2" s="3">
        <v>26</v>
      </c>
      <c r="O2" s="3">
        <v>28</v>
      </c>
      <c r="P2" s="3">
        <v>30</v>
      </c>
      <c r="Q2" s="3">
        <v>32</v>
      </c>
      <c r="R2" s="3">
        <v>34</v>
      </c>
      <c r="S2" s="3">
        <v>36</v>
      </c>
      <c r="T2" s="3">
        <v>38</v>
      </c>
      <c r="U2" s="3">
        <v>40</v>
      </c>
      <c r="V2" s="3">
        <v>42</v>
      </c>
      <c r="W2" s="3">
        <v>44</v>
      </c>
      <c r="X2" s="3">
        <v>46</v>
      </c>
      <c r="Y2" s="3">
        <v>48</v>
      </c>
      <c r="Z2" s="3">
        <v>50</v>
      </c>
      <c r="AA2" s="3">
        <v>52</v>
      </c>
      <c r="AB2" s="3">
        <v>54</v>
      </c>
      <c r="AC2" s="3">
        <v>56</v>
      </c>
      <c r="AD2" s="3">
        <v>58</v>
      </c>
      <c r="AE2" s="3">
        <v>60</v>
      </c>
      <c r="AF2" s="3">
        <v>62</v>
      </c>
      <c r="AG2" s="3">
        <v>64</v>
      </c>
      <c r="AH2" s="3">
        <v>66</v>
      </c>
      <c r="AI2" s="3">
        <v>68</v>
      </c>
      <c r="AJ2" s="3">
        <v>70</v>
      </c>
      <c r="AK2" s="3">
        <v>72</v>
      </c>
      <c r="AL2" s="3">
        <v>74</v>
      </c>
      <c r="AM2" s="3">
        <v>76</v>
      </c>
      <c r="AN2" s="3">
        <v>78</v>
      </c>
      <c r="AO2" s="3">
        <v>80</v>
      </c>
      <c r="AP2" s="3">
        <v>82</v>
      </c>
      <c r="AQ2" s="3">
        <v>84</v>
      </c>
      <c r="AR2" s="3">
        <v>86</v>
      </c>
      <c r="AS2" s="3">
        <v>88</v>
      </c>
      <c r="AT2" s="3">
        <v>90</v>
      </c>
      <c r="AU2" s="3">
        <v>92</v>
      </c>
      <c r="AV2" s="3">
        <v>94</v>
      </c>
      <c r="AW2" s="3">
        <v>96</v>
      </c>
      <c r="AX2" s="3">
        <v>98</v>
      </c>
      <c r="AY2" s="3">
        <v>100</v>
      </c>
    </row>
    <row r="3" spans="2:91" x14ac:dyDescent="0.45">
      <c r="B3" s="2">
        <v>126</v>
      </c>
      <c r="C3" s="4">
        <f>CalculateHeatIndex($B3,C$2)</f>
        <v>112.90275186000004</v>
      </c>
      <c r="D3" s="4">
        <f t="shared" ref="D3:S18" si="0">CalculateHeatIndex($B3,D$2)</f>
        <v>115.98690176000004</v>
      </c>
      <c r="E3" s="4">
        <f t="shared" si="0"/>
        <v>119.23941094000004</v>
      </c>
      <c r="F3" s="4">
        <f t="shared" si="0"/>
        <v>122.66027940000005</v>
      </c>
      <c r="G3" s="4">
        <f t="shared" si="0"/>
        <v>126.24950714000005</v>
      </c>
      <c r="H3" s="4">
        <f t="shared" si="0"/>
        <v>130.00709416000007</v>
      </c>
      <c r="I3" s="4">
        <f t="shared" si="0"/>
        <v>133.93304046000006</v>
      </c>
      <c r="J3" s="4">
        <f t="shared" si="0"/>
        <v>138.02734604000005</v>
      </c>
      <c r="K3" s="4">
        <f t="shared" si="0"/>
        <v>142.29001090000008</v>
      </c>
      <c r="L3" s="4">
        <f t="shared" si="0"/>
        <v>146.72103504000006</v>
      </c>
      <c r="M3" s="4">
        <f t="shared" si="0"/>
        <v>151.32041846000007</v>
      </c>
      <c r="N3" s="4">
        <f t="shared" si="0"/>
        <v>156.08816116000008</v>
      </c>
      <c r="O3" s="4">
        <f t="shared" si="0"/>
        <v>161.02426314000007</v>
      </c>
      <c r="P3" s="4">
        <f t="shared" si="0"/>
        <v>166.1287244000001</v>
      </c>
      <c r="Q3" s="4">
        <f t="shared" si="0"/>
        <v>171.40154494000009</v>
      </c>
      <c r="R3" s="4">
        <f t="shared" si="0"/>
        <v>176.8427247600001</v>
      </c>
      <c r="S3" s="4">
        <f t="shared" si="0"/>
        <v>182.4522638600001</v>
      </c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</row>
    <row r="4" spans="2:91" x14ac:dyDescent="0.45">
      <c r="B4" s="2">
        <v>124</v>
      </c>
      <c r="C4" s="4">
        <f>CalculateHeatIndex($B4,C$2)</f>
        <v>111.55282944000004</v>
      </c>
      <c r="D4" s="4">
        <f t="shared" si="0"/>
        <v>114.29304818000004</v>
      </c>
      <c r="E4" s="4">
        <f t="shared" si="0"/>
        <v>117.19594108000004</v>
      </c>
      <c r="F4" s="4">
        <f t="shared" si="0"/>
        <v>120.26150814000005</v>
      </c>
      <c r="G4" s="4">
        <f t="shared" ref="G4:V18" si="1">CalculateHeatIndex($B4,G$2)</f>
        <v>123.48974936000005</v>
      </c>
      <c r="H4" s="4">
        <f t="shared" si="1"/>
        <v>126.88066474000006</v>
      </c>
      <c r="I4" s="4">
        <f t="shared" si="0"/>
        <v>130.43425428000006</v>
      </c>
      <c r="J4" s="4">
        <f t="shared" si="1"/>
        <v>134.15051798000007</v>
      </c>
      <c r="K4" s="4">
        <f t="shared" si="1"/>
        <v>138.02945584000008</v>
      </c>
      <c r="L4" s="4">
        <f t="shared" si="0"/>
        <v>142.07106786000008</v>
      </c>
      <c r="M4" s="4">
        <f t="shared" si="1"/>
        <v>146.27535404000008</v>
      </c>
      <c r="N4" s="4">
        <f t="shared" si="1"/>
        <v>150.64231438000007</v>
      </c>
      <c r="O4" s="4">
        <f t="shared" si="0"/>
        <v>155.17194888000009</v>
      </c>
      <c r="P4" s="4">
        <f t="shared" si="1"/>
        <v>159.8642575400001</v>
      </c>
      <c r="Q4" s="4">
        <f t="shared" si="1"/>
        <v>164.7192403600001</v>
      </c>
      <c r="R4" s="4">
        <f t="shared" si="0"/>
        <v>169.7368973400001</v>
      </c>
      <c r="S4" s="4">
        <f t="shared" si="1"/>
        <v>174.91722848000009</v>
      </c>
      <c r="T4" s="4">
        <f t="shared" si="1"/>
        <v>180.26023378000011</v>
      </c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</row>
    <row r="5" spans="2:91" x14ac:dyDescent="0.45">
      <c r="B5" s="2">
        <v>122</v>
      </c>
      <c r="C5" s="4">
        <f t="shared" ref="C5:R28" si="2">CalculateHeatIndex($B5,C$2)</f>
        <v>110.18726934000004</v>
      </c>
      <c r="D5" s="4">
        <f t="shared" si="0"/>
        <v>112.60289836000004</v>
      </c>
      <c r="E5" s="4">
        <f t="shared" si="0"/>
        <v>115.17538906000004</v>
      </c>
      <c r="F5" s="4">
        <f t="shared" si="2"/>
        <v>117.90474144000005</v>
      </c>
      <c r="G5" s="4">
        <f t="shared" si="1"/>
        <v>120.79095550000005</v>
      </c>
      <c r="H5" s="4">
        <f t="shared" si="1"/>
        <v>123.83403124000006</v>
      </c>
      <c r="I5" s="4">
        <f t="shared" si="2"/>
        <v>127.03396866000006</v>
      </c>
      <c r="J5" s="4">
        <f t="shared" si="1"/>
        <v>130.39076776000007</v>
      </c>
      <c r="K5" s="4">
        <f t="shared" si="1"/>
        <v>133.90442854000005</v>
      </c>
      <c r="L5" s="4">
        <f t="shared" si="2"/>
        <v>137.57495100000008</v>
      </c>
      <c r="M5" s="4">
        <f t="shared" si="1"/>
        <v>141.40233514000008</v>
      </c>
      <c r="N5" s="4">
        <f t="shared" si="1"/>
        <v>145.38658096000009</v>
      </c>
      <c r="O5" s="4">
        <f t="shared" si="2"/>
        <v>149.52768846000009</v>
      </c>
      <c r="P5" s="4">
        <f t="shared" si="1"/>
        <v>153.82565764000009</v>
      </c>
      <c r="Q5" s="4">
        <f t="shared" si="1"/>
        <v>158.28048850000008</v>
      </c>
      <c r="R5" s="4">
        <f t="shared" si="2"/>
        <v>162.89218104000008</v>
      </c>
      <c r="S5" s="4">
        <f t="shared" si="1"/>
        <v>167.66073526000011</v>
      </c>
      <c r="T5" s="4">
        <f t="shared" si="1"/>
        <v>172.5861511600001</v>
      </c>
      <c r="U5" s="4">
        <f t="shared" si="1"/>
        <v>177.66842874000011</v>
      </c>
      <c r="V5" s="4">
        <f t="shared" si="1"/>
        <v>182.90756800000011</v>
      </c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</row>
    <row r="6" spans="2:91" x14ac:dyDescent="0.45">
      <c r="B6" s="2">
        <v>120</v>
      </c>
      <c r="C6" s="4">
        <f t="shared" si="2"/>
        <v>108.80607156000003</v>
      </c>
      <c r="D6" s="4">
        <f t="shared" si="0"/>
        <v>110.91645230000005</v>
      </c>
      <c r="E6" s="4">
        <f t="shared" si="0"/>
        <v>113.17775488000004</v>
      </c>
      <c r="F6" s="4">
        <f t="shared" si="2"/>
        <v>115.58997930000005</v>
      </c>
      <c r="G6" s="4">
        <f t="shared" si="1"/>
        <v>118.15312556000005</v>
      </c>
      <c r="H6" s="4">
        <f t="shared" si="1"/>
        <v>120.86719366000005</v>
      </c>
      <c r="I6" s="4">
        <f t="shared" si="2"/>
        <v>123.73218360000006</v>
      </c>
      <c r="J6" s="4">
        <f t="shared" si="1"/>
        <v>126.74809538000007</v>
      </c>
      <c r="K6" s="4">
        <f t="shared" si="1"/>
        <v>129.91492900000006</v>
      </c>
      <c r="L6" s="4">
        <f t="shared" si="2"/>
        <v>133.23268446000006</v>
      </c>
      <c r="M6" s="4">
        <f t="shared" si="1"/>
        <v>136.70136176000008</v>
      </c>
      <c r="N6" s="4">
        <f t="shared" si="1"/>
        <v>140.32096090000007</v>
      </c>
      <c r="O6" s="4">
        <f t="shared" si="2"/>
        <v>144.09148188000009</v>
      </c>
      <c r="P6" s="4">
        <f t="shared" si="1"/>
        <v>148.01292470000007</v>
      </c>
      <c r="Q6" s="4">
        <f t="shared" si="1"/>
        <v>152.08528936000008</v>
      </c>
      <c r="R6" s="4">
        <f t="shared" si="2"/>
        <v>156.3085758600001</v>
      </c>
      <c r="S6" s="4">
        <f t="shared" si="1"/>
        <v>160.6827842000001</v>
      </c>
      <c r="T6" s="4">
        <f t="shared" si="1"/>
        <v>165.20791438000009</v>
      </c>
      <c r="U6" s="4">
        <f t="shared" si="1"/>
        <v>169.88396640000011</v>
      </c>
      <c r="V6" s="4">
        <f t="shared" si="1"/>
        <v>174.71094026000011</v>
      </c>
      <c r="W6" s="4">
        <f t="shared" ref="W6" si="3">CalculateHeatIndex($B6,W$2)</f>
        <v>179.68883596000012</v>
      </c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</row>
    <row r="7" spans="2:91" x14ac:dyDescent="0.45">
      <c r="B7" s="2">
        <v>118</v>
      </c>
      <c r="C7" s="4">
        <f t="shared" si="2"/>
        <v>107.40923610000003</v>
      </c>
      <c r="D7" s="4">
        <f t="shared" si="0"/>
        <v>109.23371000000004</v>
      </c>
      <c r="E7" s="4">
        <f t="shared" si="0"/>
        <v>111.20303854000004</v>
      </c>
      <c r="F7" s="4">
        <f t="shared" si="2"/>
        <v>113.31722172000005</v>
      </c>
      <c r="G7" s="4">
        <f t="shared" si="1"/>
        <v>115.57625954000005</v>
      </c>
      <c r="H7" s="4">
        <f>CalculateHeatIndex($B7,H$2)</f>
        <v>117.98015200000005</v>
      </c>
      <c r="I7" s="4">
        <f t="shared" si="2"/>
        <v>120.52889910000006</v>
      </c>
      <c r="J7" s="4">
        <f t="shared" si="1"/>
        <v>123.22250084000007</v>
      </c>
      <c r="K7" s="4">
        <f t="shared" si="1"/>
        <v>126.06095722000006</v>
      </c>
      <c r="L7" s="4">
        <f t="shared" si="2"/>
        <v>129.04426824000006</v>
      </c>
      <c r="M7" s="4">
        <f t="shared" si="1"/>
        <v>132.17243390000007</v>
      </c>
      <c r="N7" s="4">
        <f t="shared" si="1"/>
        <v>135.44545420000009</v>
      </c>
      <c r="O7" s="4">
        <f t="shared" si="2"/>
        <v>138.86332914000008</v>
      </c>
      <c r="P7" s="4">
        <f t="shared" si="1"/>
        <v>142.42605872000007</v>
      </c>
      <c r="Q7" s="4">
        <f t="shared" si="1"/>
        <v>146.13364294000007</v>
      </c>
      <c r="R7" s="4">
        <f t="shared" si="2"/>
        <v>149.98608180000008</v>
      </c>
      <c r="S7" s="4">
        <f t="shared" si="1"/>
        <v>153.98337530000009</v>
      </c>
      <c r="T7" s="4">
        <f t="shared" si="1"/>
        <v>158.12552344000011</v>
      </c>
      <c r="U7" s="4">
        <f t="shared" si="1"/>
        <v>162.4125262200001</v>
      </c>
      <c r="V7" s="4">
        <f t="shared" si="1"/>
        <v>166.8443836400001</v>
      </c>
      <c r="W7" s="4">
        <f t="shared" ref="W7:AE10" si="4">CalculateHeatIndex($B7,W$2)</f>
        <v>171.42109570000011</v>
      </c>
      <c r="X7" s="4">
        <f t="shared" si="4"/>
        <v>176.14266240000012</v>
      </c>
      <c r="Y7" s="4">
        <f t="shared" si="4"/>
        <v>181.00908374000011</v>
      </c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</row>
    <row r="8" spans="2:91" x14ac:dyDescent="0.45">
      <c r="B8" s="2">
        <v>116</v>
      </c>
      <c r="C8" s="4">
        <f t="shared" si="2"/>
        <v>105.99676296000004</v>
      </c>
      <c r="D8" s="4">
        <f t="shared" si="0"/>
        <v>107.55467146000004</v>
      </c>
      <c r="E8" s="4">
        <f t="shared" si="0"/>
        <v>109.25124004000004</v>
      </c>
      <c r="F8" s="4">
        <f t="shared" si="2"/>
        <v>111.08646870000004</v>
      </c>
      <c r="G8" s="4">
        <f t="shared" si="1"/>
        <v>113.06035744000005</v>
      </c>
      <c r="H8" s="4">
        <f>CalculateHeatIndex($B8,H$2)</f>
        <v>115.17290626000005</v>
      </c>
      <c r="I8" s="4">
        <f t="shared" si="2"/>
        <v>117.42411516000006</v>
      </c>
      <c r="J8" s="4">
        <f t="shared" si="1"/>
        <v>119.81398414000006</v>
      </c>
      <c r="K8" s="4">
        <f t="shared" si="1"/>
        <v>122.34251320000006</v>
      </c>
      <c r="L8" s="4">
        <f t="shared" si="2"/>
        <v>125.00970234000006</v>
      </c>
      <c r="M8" s="4">
        <f t="shared" si="1"/>
        <v>127.81555156000007</v>
      </c>
      <c r="N8" s="4">
        <f t="shared" si="1"/>
        <v>130.76006086000007</v>
      </c>
      <c r="O8" s="4">
        <f t="shared" si="2"/>
        <v>133.84323024000008</v>
      </c>
      <c r="P8" s="4">
        <f t="shared" si="1"/>
        <v>137.06505970000009</v>
      </c>
      <c r="Q8" s="4">
        <f t="shared" si="1"/>
        <v>140.42554924000009</v>
      </c>
      <c r="R8" s="4">
        <f t="shared" si="2"/>
        <v>143.92469886000009</v>
      </c>
      <c r="S8" s="4">
        <f t="shared" si="1"/>
        <v>147.56250856000008</v>
      </c>
      <c r="T8" s="4">
        <f t="shared" si="1"/>
        <v>151.3389783400001</v>
      </c>
      <c r="U8" s="4">
        <f t="shared" si="1"/>
        <v>155.2541082000001</v>
      </c>
      <c r="V8" s="4">
        <f t="shared" si="1"/>
        <v>159.30789814000011</v>
      </c>
      <c r="W8" s="4">
        <f t="shared" si="4"/>
        <v>163.5003481600001</v>
      </c>
      <c r="X8" s="4">
        <f t="shared" si="4"/>
        <v>167.83145826000012</v>
      </c>
      <c r="Y8" s="4">
        <f t="shared" si="4"/>
        <v>172.3012284400001</v>
      </c>
      <c r="Z8" s="4">
        <f t="shared" si="4"/>
        <v>176.90965870000011</v>
      </c>
      <c r="AA8" s="4">
        <f t="shared" si="4"/>
        <v>181.65674904000011</v>
      </c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</row>
    <row r="9" spans="2:91" x14ac:dyDescent="0.45">
      <c r="B9" s="2">
        <v>114</v>
      </c>
      <c r="C9" s="4">
        <f t="shared" si="2"/>
        <v>104.56865214000004</v>
      </c>
      <c r="D9" s="4">
        <f t="shared" si="0"/>
        <v>105.87933668000004</v>
      </c>
      <c r="E9" s="4">
        <f t="shared" si="0"/>
        <v>107.32235938000004</v>
      </c>
      <c r="F9" s="4">
        <f t="shared" si="2"/>
        <v>108.89772024000004</v>
      </c>
      <c r="G9" s="4">
        <f t="shared" si="1"/>
        <v>110.60541926000005</v>
      </c>
      <c r="H9" s="4">
        <f>CalculateHeatIndex($B9,H$2)</f>
        <v>112.44545644000004</v>
      </c>
      <c r="I9" s="4">
        <f t="shared" si="2"/>
        <v>114.41783178000006</v>
      </c>
      <c r="J9" s="4">
        <f t="shared" si="1"/>
        <v>116.52254528000006</v>
      </c>
      <c r="K9" s="4">
        <f t="shared" si="1"/>
        <v>118.75959694000007</v>
      </c>
      <c r="L9" s="4">
        <f t="shared" si="2"/>
        <v>121.12898676000006</v>
      </c>
      <c r="M9" s="4">
        <f t="shared" si="1"/>
        <v>123.63071474000007</v>
      </c>
      <c r="N9" s="4">
        <f t="shared" si="1"/>
        <v>126.26478088000007</v>
      </c>
      <c r="O9" s="4">
        <f t="shared" si="2"/>
        <v>129.03118518000008</v>
      </c>
      <c r="P9" s="4">
        <f t="shared" si="1"/>
        <v>131.92992764000007</v>
      </c>
      <c r="Q9" s="4">
        <f t="shared" si="1"/>
        <v>134.96100826000009</v>
      </c>
      <c r="R9" s="4">
        <f t="shared" si="2"/>
        <v>138.12442704000009</v>
      </c>
      <c r="S9" s="4">
        <f t="shared" si="1"/>
        <v>141.42018398000008</v>
      </c>
      <c r="T9" s="4">
        <f t="shared" si="1"/>
        <v>144.84827908000008</v>
      </c>
      <c r="U9" s="4">
        <f t="shared" si="1"/>
        <v>148.40871234000008</v>
      </c>
      <c r="V9" s="4">
        <f t="shared" si="1"/>
        <v>152.10148376000009</v>
      </c>
      <c r="W9" s="4">
        <f t="shared" si="4"/>
        <v>155.9265933400001</v>
      </c>
      <c r="X9" s="4">
        <f t="shared" si="4"/>
        <v>159.88404108000012</v>
      </c>
      <c r="Y9" s="4">
        <f t="shared" si="4"/>
        <v>163.9738269800001</v>
      </c>
      <c r="Z9" s="4">
        <f t="shared" si="4"/>
        <v>168.1959510400001</v>
      </c>
      <c r="AA9" s="4">
        <f t="shared" si="4"/>
        <v>172.55041326000011</v>
      </c>
      <c r="AB9" s="4">
        <f t="shared" si="4"/>
        <v>177.03721364000012</v>
      </c>
      <c r="AC9" s="4">
        <f t="shared" si="4"/>
        <v>181.65635218000011</v>
      </c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</row>
    <row r="10" spans="2:91" x14ac:dyDescent="0.45">
      <c r="B10" s="2">
        <v>112</v>
      </c>
      <c r="C10" s="4">
        <f t="shared" si="2"/>
        <v>103.12490364000003</v>
      </c>
      <c r="D10" s="4">
        <f t="shared" si="0"/>
        <v>104.20770566000003</v>
      </c>
      <c r="E10" s="4">
        <f t="shared" si="0"/>
        <v>105.41639656000004</v>
      </c>
      <c r="F10" s="4">
        <f t="shared" si="2"/>
        <v>106.75097634000004</v>
      </c>
      <c r="G10" s="4">
        <f t="shared" si="1"/>
        <v>108.21144500000004</v>
      </c>
      <c r="H10" s="4">
        <f>CalculateHeatIndex($B10,H$2)</f>
        <v>109.79780254000005</v>
      </c>
      <c r="I10" s="4">
        <f t="shared" si="2"/>
        <v>111.51004896000005</v>
      </c>
      <c r="J10" s="4">
        <f t="shared" si="1"/>
        <v>113.34818426000005</v>
      </c>
      <c r="K10" s="4">
        <f t="shared" si="1"/>
        <v>115.31220844000006</v>
      </c>
      <c r="L10" s="4">
        <f t="shared" si="2"/>
        <v>117.40212150000006</v>
      </c>
      <c r="M10" s="4">
        <f t="shared" si="1"/>
        <v>119.61792344000007</v>
      </c>
      <c r="N10" s="4">
        <f t="shared" si="1"/>
        <v>121.95961426000007</v>
      </c>
      <c r="O10" s="4">
        <f t="shared" si="2"/>
        <v>124.42719396000007</v>
      </c>
      <c r="P10" s="4">
        <f t="shared" si="1"/>
        <v>127.02066254000007</v>
      </c>
      <c r="Q10" s="4">
        <f t="shared" si="1"/>
        <v>129.74002000000007</v>
      </c>
      <c r="R10" s="4">
        <f t="shared" si="2"/>
        <v>132.58526634000009</v>
      </c>
      <c r="S10" s="4">
        <f t="shared" si="1"/>
        <v>135.5564015600001</v>
      </c>
      <c r="T10" s="4">
        <f t="shared" si="1"/>
        <v>138.6534256600001</v>
      </c>
      <c r="U10" s="4">
        <f t="shared" si="1"/>
        <v>141.87633864000009</v>
      </c>
      <c r="V10" s="4">
        <f t="shared" si="1"/>
        <v>145.22514050000009</v>
      </c>
      <c r="W10" s="4">
        <f t="shared" si="4"/>
        <v>148.69983124000009</v>
      </c>
      <c r="X10" s="4">
        <f t="shared" si="4"/>
        <v>152.30041086000011</v>
      </c>
      <c r="Y10" s="4">
        <f t="shared" si="4"/>
        <v>156.02687936000009</v>
      </c>
      <c r="Z10" s="4">
        <f t="shared" si="4"/>
        <v>159.8792367400001</v>
      </c>
      <c r="AA10" s="4">
        <f t="shared" si="4"/>
        <v>163.85748300000012</v>
      </c>
      <c r="AB10" s="4">
        <f t="shared" si="4"/>
        <v>167.96161814000013</v>
      </c>
      <c r="AC10" s="4">
        <f t="shared" si="4"/>
        <v>172.19164216000013</v>
      </c>
      <c r="AD10" s="4">
        <f t="shared" si="4"/>
        <v>176.54755506000012</v>
      </c>
      <c r="AE10" s="4">
        <f t="shared" si="4"/>
        <v>181.02935684000013</v>
      </c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</row>
    <row r="11" spans="2:91" x14ac:dyDescent="0.45">
      <c r="B11" s="2">
        <v>110</v>
      </c>
      <c r="C11" s="4">
        <f t="shared" si="2"/>
        <v>100.89377382685875</v>
      </c>
      <c r="D11" s="4">
        <f t="shared" si="0"/>
        <v>101.93953335200125</v>
      </c>
      <c r="E11" s="4">
        <f t="shared" si="0"/>
        <v>103.10460511714378</v>
      </c>
      <c r="F11" s="4">
        <f t="shared" si="2"/>
        <v>104.38898912228628</v>
      </c>
      <c r="G11" s="4">
        <f t="shared" si="1"/>
        <v>105.79268536742879</v>
      </c>
      <c r="H11" s="4">
        <f>CalculateHeatIndex($B11,H$2)</f>
        <v>107.22994456000005</v>
      </c>
      <c r="I11" s="4">
        <f t="shared" si="2"/>
        <v>108.70076670000005</v>
      </c>
      <c r="J11" s="4">
        <f t="shared" si="1"/>
        <v>110.29090108000005</v>
      </c>
      <c r="K11" s="4">
        <f t="shared" si="1"/>
        <v>112.00034770000006</v>
      </c>
      <c r="L11" s="4">
        <f t="shared" si="2"/>
        <v>113.82910656000006</v>
      </c>
      <c r="M11" s="4">
        <f t="shared" si="1"/>
        <v>115.77717766000006</v>
      </c>
      <c r="N11" s="4">
        <f t="shared" si="1"/>
        <v>117.84456100000007</v>
      </c>
      <c r="O11" s="4">
        <f t="shared" si="2"/>
        <v>120.03125658000006</v>
      </c>
      <c r="P11" s="4">
        <f t="shared" si="1"/>
        <v>122.33726440000007</v>
      </c>
      <c r="Q11" s="4">
        <f t="shared" si="1"/>
        <v>124.76258446000007</v>
      </c>
      <c r="R11" s="4">
        <f t="shared" si="2"/>
        <v>127.30721676000007</v>
      </c>
      <c r="S11" s="4">
        <f t="shared" si="1"/>
        <v>129.97116130000009</v>
      </c>
      <c r="T11" s="4">
        <f t="shared" si="1"/>
        <v>132.75441808000008</v>
      </c>
      <c r="U11" s="4">
        <f t="shared" si="1"/>
        <v>135.65698710000009</v>
      </c>
      <c r="V11" s="4">
        <f t="shared" si="1"/>
        <v>138.67886836000008</v>
      </c>
      <c r="W11" s="4">
        <f t="shared" ref="W11:AO14" si="5">CalculateHeatIndex($B11,W$2)</f>
        <v>141.8200618600001</v>
      </c>
      <c r="X11" s="4">
        <f t="shared" si="5"/>
        <v>145.08056760000011</v>
      </c>
      <c r="Y11" s="4">
        <f t="shared" si="5"/>
        <v>148.46038558000009</v>
      </c>
      <c r="Z11" s="4">
        <f t="shared" si="5"/>
        <v>151.9595158000001</v>
      </c>
      <c r="AA11" s="4">
        <f t="shared" si="5"/>
        <v>155.57795826000012</v>
      </c>
      <c r="AB11" s="4">
        <f t="shared" si="5"/>
        <v>159.3157129600001</v>
      </c>
      <c r="AC11" s="4">
        <f t="shared" si="5"/>
        <v>163.17277990000011</v>
      </c>
      <c r="AD11" s="4">
        <f t="shared" si="5"/>
        <v>167.14915908000012</v>
      </c>
      <c r="AE11" s="4">
        <f t="shared" si="5"/>
        <v>171.24485050000013</v>
      </c>
      <c r="AF11" s="4">
        <f t="shared" si="5"/>
        <v>175.45985416000013</v>
      </c>
      <c r="AG11" s="4">
        <f t="shared" si="5"/>
        <v>179.79417006000011</v>
      </c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</row>
    <row r="12" spans="2:91" x14ac:dyDescent="0.45">
      <c r="B12" s="2">
        <v>108</v>
      </c>
      <c r="C12" s="4">
        <f t="shared" si="2"/>
        <v>99.099083287336541</v>
      </c>
      <c r="D12" s="4">
        <f t="shared" si="0"/>
        <v>100.02668021237288</v>
      </c>
      <c r="E12" s="4">
        <f t="shared" si="0"/>
        <v>101.06688537740921</v>
      </c>
      <c r="F12" s="4">
        <f t="shared" si="2"/>
        <v>102.21969878244555</v>
      </c>
      <c r="G12" s="4">
        <f t="shared" si="1"/>
        <v>103.48512042748187</v>
      </c>
      <c r="H12" s="4">
        <f t="shared" si="1"/>
        <v>104.74188250000005</v>
      </c>
      <c r="I12" s="4">
        <f t="shared" si="2"/>
        <v>105.98998500000005</v>
      </c>
      <c r="J12" s="4">
        <f t="shared" si="1"/>
        <v>107.35069574000005</v>
      </c>
      <c r="K12" s="4">
        <f t="shared" si="1"/>
        <v>108.82401472000005</v>
      </c>
      <c r="L12" s="4">
        <f t="shared" si="2"/>
        <v>110.40994194000005</v>
      </c>
      <c r="M12" s="4">
        <f t="shared" si="1"/>
        <v>112.10847740000006</v>
      </c>
      <c r="N12" s="4">
        <f t="shared" si="1"/>
        <v>113.91962110000006</v>
      </c>
      <c r="O12" s="4">
        <f t="shared" si="2"/>
        <v>115.84337304000006</v>
      </c>
      <c r="P12" s="4">
        <f t="shared" si="1"/>
        <v>117.87973322000006</v>
      </c>
      <c r="Q12" s="4">
        <f t="shared" si="1"/>
        <v>120.02870164000007</v>
      </c>
      <c r="R12" s="4">
        <f t="shared" si="2"/>
        <v>122.29027830000007</v>
      </c>
      <c r="S12" s="4">
        <f t="shared" si="1"/>
        <v>124.66446320000007</v>
      </c>
      <c r="T12" s="4">
        <f t="shared" si="1"/>
        <v>127.15125634000007</v>
      </c>
      <c r="U12" s="4">
        <f t="shared" si="1"/>
        <v>129.75065772000008</v>
      </c>
      <c r="V12" s="4">
        <f t="shared" si="1"/>
        <v>132.46266734000008</v>
      </c>
      <c r="W12" s="4">
        <f t="shared" si="5"/>
        <v>135.2872852000001</v>
      </c>
      <c r="X12" s="4">
        <f t="shared" si="5"/>
        <v>138.2245113000001</v>
      </c>
      <c r="Y12" s="4">
        <f t="shared" si="5"/>
        <v>141.27434564000009</v>
      </c>
      <c r="Z12" s="4">
        <f t="shared" si="5"/>
        <v>144.4367882200001</v>
      </c>
      <c r="AA12" s="4">
        <f t="shared" si="5"/>
        <v>147.71183904000011</v>
      </c>
      <c r="AB12" s="4">
        <f t="shared" si="5"/>
        <v>151.09949810000012</v>
      </c>
      <c r="AC12" s="4">
        <f t="shared" si="5"/>
        <v>154.59976540000011</v>
      </c>
      <c r="AD12" s="4">
        <f t="shared" si="5"/>
        <v>158.21264094000011</v>
      </c>
      <c r="AE12" s="4">
        <f t="shared" si="5"/>
        <v>161.9381247200001</v>
      </c>
      <c r="AF12" s="4">
        <f t="shared" si="5"/>
        <v>165.77621674000011</v>
      </c>
      <c r="AG12" s="4">
        <f t="shared" si="5"/>
        <v>169.72691700000013</v>
      </c>
      <c r="AH12" s="4">
        <f t="shared" si="5"/>
        <v>173.79022550000013</v>
      </c>
      <c r="AI12" s="4">
        <f t="shared" si="5"/>
        <v>177.96614224000012</v>
      </c>
      <c r="AJ12" s="4">
        <f t="shared" si="5"/>
        <v>182.25466722000013</v>
      </c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</row>
    <row r="13" spans="2:91" x14ac:dyDescent="0.45">
      <c r="B13" s="2">
        <v>106</v>
      </c>
      <c r="C13" s="4">
        <f t="shared" si="2"/>
        <v>97.363132876981524</v>
      </c>
      <c r="D13" s="4">
        <f t="shared" si="0"/>
        <v>98.175380239874514</v>
      </c>
      <c r="E13" s="4">
        <f t="shared" si="0"/>
        <v>99.093404482767539</v>
      </c>
      <c r="F13" s="4">
        <f t="shared" si="2"/>
        <v>100.11720560566053</v>
      </c>
      <c r="G13" s="4">
        <f t="shared" si="1"/>
        <v>101.24678360855354</v>
      </c>
      <c r="H13" s="4">
        <f t="shared" si="1"/>
        <v>102.33361636000005</v>
      </c>
      <c r="I13" s="4">
        <f t="shared" si="2"/>
        <v>103.37770386000005</v>
      </c>
      <c r="J13" s="4">
        <f t="shared" si="1"/>
        <v>104.52756824000005</v>
      </c>
      <c r="K13" s="4">
        <f t="shared" si="1"/>
        <v>105.78320950000005</v>
      </c>
      <c r="L13" s="4">
        <f t="shared" si="2"/>
        <v>107.14462764000005</v>
      </c>
      <c r="M13" s="4">
        <f t="shared" si="1"/>
        <v>108.61182266000006</v>
      </c>
      <c r="N13" s="4">
        <f t="shared" si="1"/>
        <v>110.18479456000006</v>
      </c>
      <c r="O13" s="4">
        <f t="shared" si="2"/>
        <v>111.86354334000006</v>
      </c>
      <c r="P13" s="4">
        <f t="shared" si="1"/>
        <v>113.64806900000006</v>
      </c>
      <c r="Q13" s="4">
        <f t="shared" si="1"/>
        <v>115.53837154000007</v>
      </c>
      <c r="R13" s="4">
        <f t="shared" si="2"/>
        <v>117.53445096000007</v>
      </c>
      <c r="S13" s="4">
        <f t="shared" si="1"/>
        <v>119.63630726000008</v>
      </c>
      <c r="T13" s="4">
        <f t="shared" si="1"/>
        <v>121.84394044000008</v>
      </c>
      <c r="U13" s="4">
        <f t="shared" si="1"/>
        <v>124.15735050000008</v>
      </c>
      <c r="V13" s="4">
        <f t="shared" si="1"/>
        <v>126.57653744000008</v>
      </c>
      <c r="W13" s="4">
        <f t="shared" si="5"/>
        <v>129.10150126000008</v>
      </c>
      <c r="X13" s="4">
        <f t="shared" si="5"/>
        <v>131.7322419600001</v>
      </c>
      <c r="Y13" s="4">
        <f t="shared" si="5"/>
        <v>134.46875954000009</v>
      </c>
      <c r="Z13" s="4">
        <f t="shared" si="5"/>
        <v>137.3110540000001</v>
      </c>
      <c r="AA13" s="4">
        <f t="shared" si="5"/>
        <v>140.25912534000011</v>
      </c>
      <c r="AB13" s="4">
        <f t="shared" si="5"/>
        <v>143.3129735600001</v>
      </c>
      <c r="AC13" s="4">
        <f t="shared" si="5"/>
        <v>146.4725986600001</v>
      </c>
      <c r="AD13" s="4">
        <f t="shared" si="5"/>
        <v>149.73800064000011</v>
      </c>
      <c r="AE13" s="4">
        <f t="shared" si="5"/>
        <v>153.10917950000012</v>
      </c>
      <c r="AF13" s="4">
        <f t="shared" si="5"/>
        <v>156.58613524000012</v>
      </c>
      <c r="AG13" s="4">
        <f t="shared" si="5"/>
        <v>160.16886786000012</v>
      </c>
      <c r="AH13" s="4">
        <f t="shared" si="5"/>
        <v>163.85737736000013</v>
      </c>
      <c r="AI13" s="4">
        <f t="shared" si="5"/>
        <v>167.65166374000012</v>
      </c>
      <c r="AJ13" s="4">
        <f t="shared" si="5"/>
        <v>171.55172700000011</v>
      </c>
      <c r="AK13" s="4">
        <f t="shared" si="5"/>
        <v>175.55756714000012</v>
      </c>
      <c r="AL13" s="4">
        <f t="shared" si="5"/>
        <v>179.66918416000013</v>
      </c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</row>
    <row r="14" spans="2:91" x14ac:dyDescent="0.45">
      <c r="B14" s="2">
        <v>104</v>
      </c>
      <c r="C14" s="4">
        <f t="shared" si="2"/>
        <v>95.650045573717449</v>
      </c>
      <c r="D14" s="4">
        <f t="shared" si="0"/>
        <v>96.357729084002472</v>
      </c>
      <c r="E14" s="4">
        <f t="shared" si="0"/>
        <v>97.164230754287487</v>
      </c>
      <c r="F14" s="4">
        <f t="shared" si="2"/>
        <v>98.069550584572511</v>
      </c>
      <c r="G14" s="4">
        <f t="shared" si="1"/>
        <v>99.073688574857528</v>
      </c>
      <c r="H14" s="4">
        <f t="shared" si="1"/>
        <v>100.00514614000004</v>
      </c>
      <c r="I14" s="4">
        <f t="shared" si="2"/>
        <v>100.86392328000005</v>
      </c>
      <c r="J14" s="4">
        <f t="shared" si="1"/>
        <v>101.82151858000005</v>
      </c>
      <c r="K14" s="4">
        <f t="shared" si="1"/>
        <v>102.87793204000005</v>
      </c>
      <c r="L14" s="4">
        <f t="shared" si="2"/>
        <v>104.03316366000006</v>
      </c>
      <c r="M14" s="4">
        <f t="shared" si="1"/>
        <v>105.28721344000006</v>
      </c>
      <c r="N14" s="4">
        <f t="shared" si="1"/>
        <v>106.64008138000005</v>
      </c>
      <c r="O14" s="4">
        <f t="shared" si="2"/>
        <v>108.09176748000006</v>
      </c>
      <c r="P14" s="4">
        <f t="shared" si="1"/>
        <v>109.64227174000007</v>
      </c>
      <c r="Q14" s="4">
        <f t="shared" si="1"/>
        <v>111.29159416000007</v>
      </c>
      <c r="R14" s="4">
        <f t="shared" si="2"/>
        <v>113.03973474000007</v>
      </c>
      <c r="S14" s="4">
        <f t="shared" si="1"/>
        <v>114.88669348000008</v>
      </c>
      <c r="T14" s="4">
        <f t="shared" si="1"/>
        <v>116.83247038000007</v>
      </c>
      <c r="U14" s="4">
        <f t="shared" si="1"/>
        <v>118.87706544000008</v>
      </c>
      <c r="V14" s="4">
        <f t="shared" si="1"/>
        <v>121.02047866000008</v>
      </c>
      <c r="W14" s="4">
        <f t="shared" si="5"/>
        <v>123.26271004000009</v>
      </c>
      <c r="X14" s="4">
        <f t="shared" si="5"/>
        <v>125.60375958000009</v>
      </c>
      <c r="Y14" s="4">
        <f t="shared" si="5"/>
        <v>128.04362728000009</v>
      </c>
      <c r="Z14" s="4">
        <f t="shared" si="5"/>
        <v>130.58231314000008</v>
      </c>
      <c r="AA14" s="4">
        <f t="shared" si="5"/>
        <v>133.2198171600001</v>
      </c>
      <c r="AB14" s="4">
        <f t="shared" si="5"/>
        <v>135.95613934000011</v>
      </c>
      <c r="AC14" s="4">
        <f t="shared" si="5"/>
        <v>138.79127968000009</v>
      </c>
      <c r="AD14" s="4">
        <f t="shared" si="5"/>
        <v>141.7252381800001</v>
      </c>
      <c r="AE14" s="4">
        <f t="shared" si="5"/>
        <v>144.7580148400001</v>
      </c>
      <c r="AF14" s="4">
        <f t="shared" si="5"/>
        <v>147.8896096600001</v>
      </c>
      <c r="AG14" s="4">
        <f t="shared" si="5"/>
        <v>151.12002264000012</v>
      </c>
      <c r="AH14" s="4">
        <f t="shared" si="5"/>
        <v>154.44925378000011</v>
      </c>
      <c r="AI14" s="4">
        <f t="shared" si="5"/>
        <v>157.87730308000013</v>
      </c>
      <c r="AJ14" s="4">
        <f t="shared" si="5"/>
        <v>161.40417054000011</v>
      </c>
      <c r="AK14" s="4">
        <f t="shared" si="5"/>
        <v>165.02985616000012</v>
      </c>
      <c r="AL14" s="4">
        <f t="shared" si="5"/>
        <v>168.75435994000014</v>
      </c>
      <c r="AM14" s="4">
        <f t="shared" si="5"/>
        <v>172.57768188000014</v>
      </c>
      <c r="AN14" s="4">
        <f t="shared" si="5"/>
        <v>176.49982198000012</v>
      </c>
      <c r="AO14" s="4">
        <f t="shared" si="5"/>
        <v>180.52078024000014</v>
      </c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</row>
    <row r="15" spans="2:91" x14ac:dyDescent="0.45">
      <c r="B15" s="2">
        <v>102</v>
      </c>
      <c r="C15" s="4">
        <f t="shared" si="2"/>
        <v>93.945924715093454</v>
      </c>
      <c r="D15" s="4">
        <f t="shared" si="0"/>
        <v>94.562918229517123</v>
      </c>
      <c r="E15" s="4">
        <f t="shared" si="0"/>
        <v>95.271643823940821</v>
      </c>
      <c r="F15" s="4">
        <f t="shared" si="2"/>
        <v>96.072101498364518</v>
      </c>
      <c r="G15" s="4">
        <f t="shared" si="1"/>
        <v>96.9642912527882</v>
      </c>
      <c r="H15" s="4">
        <f t="shared" si="1"/>
        <v>97.756471840000046</v>
      </c>
      <c r="I15" s="4">
        <f t="shared" si="2"/>
        <v>98.44864326000004</v>
      </c>
      <c r="J15" s="4">
        <f t="shared" si="1"/>
        <v>99.232546760000048</v>
      </c>
      <c r="K15" s="4">
        <f t="shared" si="1"/>
        <v>100.10818234000006</v>
      </c>
      <c r="L15" s="4">
        <f t="shared" si="2"/>
        <v>101.07555000000005</v>
      </c>
      <c r="M15" s="4">
        <f t="shared" si="1"/>
        <v>102.13464974000006</v>
      </c>
      <c r="N15" s="4">
        <f t="shared" si="1"/>
        <v>103.28548156000005</v>
      </c>
      <c r="O15" s="4">
        <f t="shared" si="2"/>
        <v>104.52804546000006</v>
      </c>
      <c r="P15" s="4">
        <f t="shared" si="1"/>
        <v>105.86234144000007</v>
      </c>
      <c r="Q15" s="4">
        <f t="shared" si="1"/>
        <v>107.28836950000006</v>
      </c>
      <c r="R15" s="4">
        <f t="shared" si="2"/>
        <v>108.80612964000007</v>
      </c>
      <c r="S15" s="4">
        <f t="shared" si="1"/>
        <v>110.41562186000007</v>
      </c>
      <c r="T15" s="4">
        <f t="shared" si="1"/>
        <v>112.11684616000007</v>
      </c>
      <c r="U15" s="4">
        <f t="shared" si="1"/>
        <v>113.90980254000007</v>
      </c>
      <c r="V15" s="4">
        <f t="shared" si="1"/>
        <v>115.79449100000008</v>
      </c>
      <c r="W15" s="4">
        <f t="shared" ref="W15:AY18" si="6">CalculateHeatIndex($B15,W$2)</f>
        <v>117.77091154000009</v>
      </c>
      <c r="X15" s="4">
        <f t="shared" si="6"/>
        <v>119.83906416000008</v>
      </c>
      <c r="Y15" s="4">
        <f t="shared" si="6"/>
        <v>121.99894886000008</v>
      </c>
      <c r="Z15" s="4">
        <f t="shared" si="6"/>
        <v>124.25056564000009</v>
      </c>
      <c r="AA15" s="4">
        <f t="shared" si="6"/>
        <v>126.5939145000001</v>
      </c>
      <c r="AB15" s="4">
        <f t="shared" si="6"/>
        <v>129.0289954400001</v>
      </c>
      <c r="AC15" s="4">
        <f t="shared" si="6"/>
        <v>131.55580846000009</v>
      </c>
      <c r="AD15" s="4">
        <f t="shared" si="6"/>
        <v>134.1743535600001</v>
      </c>
      <c r="AE15" s="4">
        <f t="shared" si="6"/>
        <v>136.88463074000009</v>
      </c>
      <c r="AF15" s="4">
        <f t="shared" si="6"/>
        <v>139.6866400000001</v>
      </c>
      <c r="AG15" s="4">
        <f t="shared" si="6"/>
        <v>142.58038134000012</v>
      </c>
      <c r="AH15" s="4">
        <f t="shared" si="6"/>
        <v>145.56585476000012</v>
      </c>
      <c r="AI15" s="4">
        <f t="shared" si="6"/>
        <v>148.64306026000011</v>
      </c>
      <c r="AJ15" s="4">
        <f t="shared" si="6"/>
        <v>151.81199784000012</v>
      </c>
      <c r="AK15" s="4">
        <f t="shared" si="6"/>
        <v>155.07266750000011</v>
      </c>
      <c r="AL15" s="4">
        <f t="shared" si="6"/>
        <v>158.42506924000011</v>
      </c>
      <c r="AM15" s="4">
        <f t="shared" si="6"/>
        <v>161.86920306000013</v>
      </c>
      <c r="AN15" s="4">
        <f t="shared" si="6"/>
        <v>165.40506896000014</v>
      </c>
      <c r="AO15" s="4">
        <f t="shared" si="6"/>
        <v>169.03266694000013</v>
      </c>
      <c r="AP15" s="4">
        <f t="shared" si="6"/>
        <v>172.75199700000013</v>
      </c>
      <c r="AQ15" s="4">
        <f t="shared" si="6"/>
        <v>176.56305914000015</v>
      </c>
      <c r="AR15" s="4">
        <f t="shared" si="6"/>
        <v>180.46585336000015</v>
      </c>
      <c r="AS15" s="4"/>
      <c r="AT15" s="4"/>
      <c r="AU15" s="4"/>
      <c r="AV15" s="4"/>
      <c r="AW15" s="4"/>
      <c r="AX15" s="4"/>
      <c r="AY15" s="4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</row>
    <row r="16" spans="2:91" x14ac:dyDescent="0.45">
      <c r="B16" s="2">
        <v>100</v>
      </c>
      <c r="C16" s="4">
        <f t="shared" si="2"/>
        <v>92.243643246562215</v>
      </c>
      <c r="D16" s="4">
        <f t="shared" si="0"/>
        <v>92.785404411770628</v>
      </c>
      <c r="E16" s="4">
        <f t="shared" si="0"/>
        <v>93.411684216979026</v>
      </c>
      <c r="F16" s="4">
        <f t="shared" si="2"/>
        <v>94.122482662187437</v>
      </c>
      <c r="G16" s="4">
        <f t="shared" si="1"/>
        <v>94.917799747395833</v>
      </c>
      <c r="H16" s="4">
        <f t="shared" si="1"/>
        <v>95.587593460000036</v>
      </c>
      <c r="I16" s="4">
        <f t="shared" si="2"/>
        <v>96.131863800000048</v>
      </c>
      <c r="J16" s="4">
        <f t="shared" si="1"/>
        <v>96.760652780000044</v>
      </c>
      <c r="K16" s="4">
        <f t="shared" si="1"/>
        <v>97.473960400000053</v>
      </c>
      <c r="L16" s="4">
        <f t="shared" si="2"/>
        <v>98.271786660000046</v>
      </c>
      <c r="M16" s="4">
        <f t="shared" si="1"/>
        <v>99.154131560000053</v>
      </c>
      <c r="N16" s="4">
        <f t="shared" si="1"/>
        <v>100.12099510000006</v>
      </c>
      <c r="O16" s="4">
        <f t="shared" si="2"/>
        <v>101.17237728000006</v>
      </c>
      <c r="P16" s="4">
        <f t="shared" si="1"/>
        <v>102.30827810000007</v>
      </c>
      <c r="Q16" s="4">
        <f t="shared" si="1"/>
        <v>103.52869756000007</v>
      </c>
      <c r="R16" s="4">
        <f t="shared" si="2"/>
        <v>104.83363566000007</v>
      </c>
      <c r="S16" s="4">
        <f t="shared" si="1"/>
        <v>106.22309240000007</v>
      </c>
      <c r="T16" s="4">
        <f t="shared" si="1"/>
        <v>107.69706778000007</v>
      </c>
      <c r="U16" s="4">
        <f t="shared" si="1"/>
        <v>109.25556180000007</v>
      </c>
      <c r="V16" s="4">
        <f t="shared" si="1"/>
        <v>110.89857446000008</v>
      </c>
      <c r="W16" s="4">
        <f t="shared" si="6"/>
        <v>112.62610576000007</v>
      </c>
      <c r="X16" s="4">
        <f t="shared" si="6"/>
        <v>114.43815570000008</v>
      </c>
      <c r="Y16" s="4">
        <f t="shared" si="6"/>
        <v>116.33472428000009</v>
      </c>
      <c r="Z16" s="4">
        <f t="shared" si="6"/>
        <v>118.31581150000008</v>
      </c>
      <c r="AA16" s="4">
        <f t="shared" si="6"/>
        <v>120.38141736000009</v>
      </c>
      <c r="AB16" s="4">
        <f t="shared" si="6"/>
        <v>122.53154186000009</v>
      </c>
      <c r="AC16" s="4">
        <f t="shared" si="6"/>
        <v>124.76618500000009</v>
      </c>
      <c r="AD16" s="4">
        <f t="shared" si="6"/>
        <v>127.08534678000009</v>
      </c>
      <c r="AE16" s="4">
        <f t="shared" si="6"/>
        <v>129.48902720000009</v>
      </c>
      <c r="AF16" s="4">
        <f t="shared" si="6"/>
        <v>131.97722626000009</v>
      </c>
      <c r="AG16" s="4">
        <f t="shared" si="6"/>
        <v>134.54994396000009</v>
      </c>
      <c r="AH16" s="4">
        <f t="shared" si="6"/>
        <v>137.20718030000012</v>
      </c>
      <c r="AI16" s="4">
        <f t="shared" si="6"/>
        <v>139.94893528000011</v>
      </c>
      <c r="AJ16" s="4">
        <f t="shared" si="6"/>
        <v>142.77520890000011</v>
      </c>
      <c r="AK16" s="4">
        <f t="shared" si="6"/>
        <v>145.6860011600001</v>
      </c>
      <c r="AL16" s="4">
        <f t="shared" si="6"/>
        <v>148.68131206000012</v>
      </c>
      <c r="AM16" s="4">
        <f t="shared" si="6"/>
        <v>151.76114160000012</v>
      </c>
      <c r="AN16" s="4">
        <f t="shared" si="6"/>
        <v>154.92548978000013</v>
      </c>
      <c r="AO16" s="4">
        <f t="shared" si="6"/>
        <v>158.17435660000012</v>
      </c>
      <c r="AP16" s="4">
        <f t="shared" si="6"/>
        <v>161.50774206000014</v>
      </c>
      <c r="AQ16" s="4">
        <f t="shared" si="6"/>
        <v>164.92564616000013</v>
      </c>
      <c r="AR16" s="4">
        <f t="shared" si="6"/>
        <v>168.42806890000014</v>
      </c>
      <c r="AS16" s="4">
        <f t="shared" si="6"/>
        <v>172.01501028000013</v>
      </c>
      <c r="AT16" s="4">
        <f t="shared" si="6"/>
        <v>175.68647030000014</v>
      </c>
      <c r="AU16" s="4">
        <f t="shared" si="6"/>
        <v>179.44244896000015</v>
      </c>
      <c r="AV16" s="4">
        <f t="shared" si="6"/>
        <v>183.28294626000016</v>
      </c>
      <c r="AW16" s="4"/>
      <c r="AX16" s="4"/>
      <c r="AY16" s="4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</row>
    <row r="17" spans="2:91" x14ac:dyDescent="0.45">
      <c r="B17" s="2">
        <v>98</v>
      </c>
      <c r="C17" s="4">
        <f t="shared" si="2"/>
        <v>90.53896737081071</v>
      </c>
      <c r="D17" s="4">
        <f t="shared" si="0"/>
        <v>91.021894677297226</v>
      </c>
      <c r="E17" s="4">
        <f t="shared" si="0"/>
        <v>91.581999823783747</v>
      </c>
      <c r="F17" s="4">
        <f t="shared" si="2"/>
        <v>92.219282810270258</v>
      </c>
      <c r="G17" s="4">
        <f t="shared" si="1"/>
        <v>92.933743636756773</v>
      </c>
      <c r="H17" s="4">
        <f t="shared" si="1"/>
        <v>93.498511000000036</v>
      </c>
      <c r="I17" s="4">
        <f t="shared" si="2"/>
        <v>93.913584900000046</v>
      </c>
      <c r="J17" s="4">
        <f t="shared" si="1"/>
        <v>94.405836640000047</v>
      </c>
      <c r="K17" s="4">
        <f t="shared" si="1"/>
        <v>94.975266220000051</v>
      </c>
      <c r="L17" s="4">
        <f t="shared" si="2"/>
        <v>95.621873640000047</v>
      </c>
      <c r="M17" s="4">
        <f t="shared" si="1"/>
        <v>96.345658900000046</v>
      </c>
      <c r="N17" s="4">
        <f t="shared" si="1"/>
        <v>97.14662200000005</v>
      </c>
      <c r="O17" s="4">
        <f t="shared" si="2"/>
        <v>98.024762940000059</v>
      </c>
      <c r="P17" s="4">
        <f t="shared" si="1"/>
        <v>98.980081720000058</v>
      </c>
      <c r="Q17" s="4">
        <f t="shared" si="1"/>
        <v>100.01257834000006</v>
      </c>
      <c r="R17" s="4">
        <f t="shared" si="2"/>
        <v>101.12225280000006</v>
      </c>
      <c r="S17" s="4">
        <f t="shared" si="1"/>
        <v>102.30910510000007</v>
      </c>
      <c r="T17" s="4">
        <f t="shared" si="1"/>
        <v>103.57313524000007</v>
      </c>
      <c r="U17" s="4">
        <f t="shared" si="1"/>
        <v>104.91434322000006</v>
      </c>
      <c r="V17" s="4">
        <f t="shared" si="1"/>
        <v>106.33272904000007</v>
      </c>
      <c r="W17" s="4">
        <f t="shared" si="6"/>
        <v>107.82829270000008</v>
      </c>
      <c r="X17" s="4">
        <f t="shared" si="6"/>
        <v>109.40103420000008</v>
      </c>
      <c r="Y17" s="4">
        <f t="shared" si="6"/>
        <v>111.05095354000008</v>
      </c>
      <c r="Z17" s="4">
        <f t="shared" si="6"/>
        <v>112.77805072000008</v>
      </c>
      <c r="AA17" s="4">
        <f t="shared" si="6"/>
        <v>114.58232574000009</v>
      </c>
      <c r="AB17" s="4">
        <f t="shared" si="6"/>
        <v>116.46377860000008</v>
      </c>
      <c r="AC17" s="4">
        <f t="shared" si="6"/>
        <v>118.42240930000008</v>
      </c>
      <c r="AD17" s="4">
        <f t="shared" si="6"/>
        <v>120.45821784000009</v>
      </c>
      <c r="AE17" s="4">
        <f t="shared" si="6"/>
        <v>122.5712042200001</v>
      </c>
      <c r="AF17" s="4">
        <f t="shared" si="6"/>
        <v>124.7613684400001</v>
      </c>
      <c r="AG17" s="4">
        <f t="shared" si="6"/>
        <v>127.0287105000001</v>
      </c>
      <c r="AH17" s="4">
        <f t="shared" si="6"/>
        <v>129.3732304000001</v>
      </c>
      <c r="AI17" s="4">
        <f t="shared" si="6"/>
        <v>131.79492814000011</v>
      </c>
      <c r="AJ17" s="4">
        <f t="shared" si="6"/>
        <v>134.29380372000011</v>
      </c>
      <c r="AK17" s="4">
        <f t="shared" si="6"/>
        <v>136.86985714000011</v>
      </c>
      <c r="AL17" s="4">
        <f t="shared" si="6"/>
        <v>139.52308840000012</v>
      </c>
      <c r="AM17" s="4">
        <f t="shared" si="6"/>
        <v>142.25349750000012</v>
      </c>
      <c r="AN17" s="4">
        <f t="shared" si="6"/>
        <v>145.06108444000012</v>
      </c>
      <c r="AO17" s="4">
        <f t="shared" si="6"/>
        <v>147.94584922000013</v>
      </c>
      <c r="AP17" s="4">
        <f t="shared" si="6"/>
        <v>150.90779184000013</v>
      </c>
      <c r="AQ17" s="4">
        <f t="shared" si="6"/>
        <v>153.94691230000012</v>
      </c>
      <c r="AR17" s="4">
        <f t="shared" si="6"/>
        <v>157.06321060000013</v>
      </c>
      <c r="AS17" s="4">
        <f t="shared" si="6"/>
        <v>160.25668674000013</v>
      </c>
      <c r="AT17" s="4">
        <f t="shared" si="6"/>
        <v>163.52734072000013</v>
      </c>
      <c r="AU17" s="4">
        <f t="shared" si="6"/>
        <v>166.87517254000014</v>
      </c>
      <c r="AV17" s="4">
        <f t="shared" si="6"/>
        <v>170.30018220000014</v>
      </c>
      <c r="AW17" s="4">
        <f t="shared" si="6"/>
        <v>173.80236970000016</v>
      </c>
      <c r="AX17" s="4">
        <f t="shared" si="6"/>
        <v>177.38173504000014</v>
      </c>
      <c r="AY17" s="4">
        <f t="shared" si="6"/>
        <v>181.03827822000017</v>
      </c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</row>
    <row r="18" spans="2:91" x14ac:dyDescent="0.45">
      <c r="B18" s="2">
        <v>96</v>
      </c>
      <c r="C18" s="4">
        <f t="shared" si="2"/>
        <v>88.829138534673035</v>
      </c>
      <c r="D18" s="4">
        <f t="shared" si="0"/>
        <v>89.270243484745691</v>
      </c>
      <c r="E18" s="4">
        <f t="shared" si="0"/>
        <v>89.781058114818364</v>
      </c>
      <c r="F18" s="4">
        <f t="shared" si="2"/>
        <v>90.361582424891026</v>
      </c>
      <c r="G18" s="4">
        <f t="shared" si="1"/>
        <v>91.01181641496369</v>
      </c>
      <c r="H18" s="4">
        <f t="shared" si="1"/>
        <v>91.489224460000031</v>
      </c>
      <c r="I18" s="4">
        <f t="shared" si="2"/>
        <v>91.793806560000036</v>
      </c>
      <c r="J18" s="4">
        <f t="shared" si="1"/>
        <v>92.168098340000043</v>
      </c>
      <c r="K18" s="4">
        <f t="shared" si="1"/>
        <v>92.612099800000038</v>
      </c>
      <c r="L18" s="4">
        <f t="shared" si="2"/>
        <v>93.125810940000051</v>
      </c>
      <c r="M18" s="4">
        <f t="shared" si="1"/>
        <v>93.709231760000051</v>
      </c>
      <c r="N18" s="4">
        <f t="shared" si="1"/>
        <v>94.362362260000054</v>
      </c>
      <c r="O18" s="4">
        <f t="shared" si="2"/>
        <v>95.085202440000046</v>
      </c>
      <c r="P18" s="4">
        <f t="shared" si="1"/>
        <v>95.877752300000054</v>
      </c>
      <c r="Q18" s="4">
        <f t="shared" si="1"/>
        <v>96.740011840000051</v>
      </c>
      <c r="R18" s="4">
        <f t="shared" si="2"/>
        <v>97.671981060000064</v>
      </c>
      <c r="S18" s="4">
        <f t="shared" si="1"/>
        <v>98.673659960000066</v>
      </c>
      <c r="T18" s="4">
        <f t="shared" si="1"/>
        <v>99.74504854000007</v>
      </c>
      <c r="U18" s="4">
        <f t="shared" si="1"/>
        <v>100.88614680000006</v>
      </c>
      <c r="V18" s="4">
        <f t="shared" si="1"/>
        <v>102.09695474000007</v>
      </c>
      <c r="W18" s="4">
        <f t="shared" si="6"/>
        <v>103.37747236000007</v>
      </c>
      <c r="X18" s="4">
        <f t="shared" si="6"/>
        <v>104.72769966000007</v>
      </c>
      <c r="Y18" s="4">
        <f t="shared" si="6"/>
        <v>106.14763664000007</v>
      </c>
      <c r="Z18" s="4">
        <f t="shared" si="6"/>
        <v>107.63728330000008</v>
      </c>
      <c r="AA18" s="4">
        <f t="shared" si="6"/>
        <v>109.19663964000009</v>
      </c>
      <c r="AB18" s="4">
        <f t="shared" si="6"/>
        <v>110.82570566000008</v>
      </c>
      <c r="AC18" s="4">
        <f t="shared" si="6"/>
        <v>112.52448136000008</v>
      </c>
      <c r="AD18" s="4">
        <f t="shared" si="6"/>
        <v>114.29296674000008</v>
      </c>
      <c r="AE18" s="4">
        <f t="shared" si="6"/>
        <v>116.13116180000009</v>
      </c>
      <c r="AF18" s="4">
        <f t="shared" si="6"/>
        <v>118.03906654000009</v>
      </c>
      <c r="AG18" s="4">
        <f t="shared" si="6"/>
        <v>120.0166809600001</v>
      </c>
      <c r="AH18" s="4">
        <f t="shared" si="6"/>
        <v>122.0640050600001</v>
      </c>
      <c r="AI18" s="4">
        <f t="shared" si="6"/>
        <v>124.1810388400001</v>
      </c>
      <c r="AJ18" s="4">
        <f t="shared" si="6"/>
        <v>126.3677823000001</v>
      </c>
      <c r="AK18" s="4">
        <f t="shared" si="6"/>
        <v>128.62423544000012</v>
      </c>
      <c r="AL18" s="4">
        <f t="shared" si="6"/>
        <v>130.9503982600001</v>
      </c>
      <c r="AM18" s="4">
        <f t="shared" si="6"/>
        <v>133.34627076000012</v>
      </c>
      <c r="AN18" s="4">
        <f t="shared" si="6"/>
        <v>135.81185294000011</v>
      </c>
      <c r="AO18" s="4">
        <f t="shared" si="6"/>
        <v>138.34714480000011</v>
      </c>
      <c r="AP18" s="4">
        <f t="shared" si="6"/>
        <v>140.95214634000013</v>
      </c>
      <c r="AQ18" s="4">
        <f t="shared" si="6"/>
        <v>143.62685756000013</v>
      </c>
      <c r="AR18" s="4">
        <f t="shared" si="6"/>
        <v>146.37127846000013</v>
      </c>
      <c r="AS18" s="4">
        <f t="shared" si="6"/>
        <v>149.18540904000014</v>
      </c>
      <c r="AT18" s="4">
        <f t="shared" si="6"/>
        <v>152.06924930000014</v>
      </c>
      <c r="AU18" s="4">
        <f t="shared" si="6"/>
        <v>155.02279924000013</v>
      </c>
      <c r="AV18" s="4">
        <f t="shared" si="6"/>
        <v>158.04605886000013</v>
      </c>
      <c r="AW18" s="4">
        <f t="shared" si="6"/>
        <v>161.13902816000015</v>
      </c>
      <c r="AX18" s="4">
        <f t="shared" si="6"/>
        <v>164.30170714000013</v>
      </c>
      <c r="AY18" s="4">
        <f t="shared" si="6"/>
        <v>167.53409580000016</v>
      </c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</row>
    <row r="19" spans="2:91" x14ac:dyDescent="0.45">
      <c r="B19" s="2">
        <v>94</v>
      </c>
      <c r="C19" s="4">
        <f t="shared" si="2"/>
        <v>87.244650914673031</v>
      </c>
      <c r="D19" s="4">
        <f t="shared" si="2"/>
        <v>87.631946304745696</v>
      </c>
      <c r="E19" s="4">
        <f t="shared" si="2"/>
        <v>88.081355854818369</v>
      </c>
      <c r="F19" s="4">
        <f t="shared" si="2"/>
        <v>88.592879564891035</v>
      </c>
      <c r="G19" s="4">
        <f t="shared" si="2"/>
        <v>89.166517434963694</v>
      </c>
      <c r="H19" s="4">
        <f t="shared" si="2"/>
        <v>89.559733840000035</v>
      </c>
      <c r="I19" s="4">
        <f t="shared" si="2"/>
        <v>89.772528780000044</v>
      </c>
      <c r="J19" s="4">
        <f t="shared" si="2"/>
        <v>90.047437880000047</v>
      </c>
      <c r="K19" s="4">
        <f t="shared" si="2"/>
        <v>90.384461140000042</v>
      </c>
      <c r="L19" s="4">
        <f t="shared" si="2"/>
        <v>90.783598560000044</v>
      </c>
      <c r="M19" s="4">
        <f t="shared" si="2"/>
        <v>91.244850140000054</v>
      </c>
      <c r="N19" s="4">
        <f t="shared" si="2"/>
        <v>91.768215880000042</v>
      </c>
      <c r="O19" s="4">
        <f t="shared" si="2"/>
        <v>92.353695780000052</v>
      </c>
      <c r="P19" s="4">
        <f t="shared" si="2"/>
        <v>93.001289840000055</v>
      </c>
      <c r="Q19" s="4">
        <f t="shared" si="2"/>
        <v>93.710998060000051</v>
      </c>
      <c r="R19" s="4">
        <f t="shared" si="2"/>
        <v>94.482820440000054</v>
      </c>
      <c r="S19" s="4">
        <f t="shared" ref="F19:U28" si="7">CalculateHeatIndex($B19,S$2)</f>
        <v>95.316756980000065</v>
      </c>
      <c r="T19" s="4">
        <f t="shared" si="7"/>
        <v>96.212807680000068</v>
      </c>
      <c r="U19" s="4">
        <f t="shared" si="7"/>
        <v>97.170972540000065</v>
      </c>
      <c r="V19" s="4">
        <f t="shared" ref="V19:AY22" si="8">CalculateHeatIndex($B19,V$2)</f>
        <v>98.191251560000069</v>
      </c>
      <c r="W19" s="4">
        <f t="shared" si="8"/>
        <v>99.273644740000066</v>
      </c>
      <c r="X19" s="4">
        <f t="shared" si="8"/>
        <v>100.41815208000007</v>
      </c>
      <c r="Y19" s="4">
        <f t="shared" si="8"/>
        <v>101.62477358000007</v>
      </c>
      <c r="Z19" s="4">
        <f t="shared" si="8"/>
        <v>102.89350924000007</v>
      </c>
      <c r="AA19" s="4">
        <f t="shared" si="8"/>
        <v>104.22435906000008</v>
      </c>
      <c r="AB19" s="4">
        <f t="shared" si="8"/>
        <v>105.61732304000007</v>
      </c>
      <c r="AC19" s="4">
        <f t="shared" si="8"/>
        <v>107.07240118000009</v>
      </c>
      <c r="AD19" s="4">
        <f t="shared" si="8"/>
        <v>108.58959348000009</v>
      </c>
      <c r="AE19" s="4">
        <f t="shared" si="8"/>
        <v>110.16889994000009</v>
      </c>
      <c r="AF19" s="4">
        <f t="shared" si="8"/>
        <v>111.81032056000009</v>
      </c>
      <c r="AG19" s="4">
        <f t="shared" si="8"/>
        <v>113.51385534000009</v>
      </c>
      <c r="AH19" s="4">
        <f t="shared" si="8"/>
        <v>115.2795042800001</v>
      </c>
      <c r="AI19" s="4">
        <f t="shared" si="8"/>
        <v>117.1072673800001</v>
      </c>
      <c r="AJ19" s="4">
        <f t="shared" si="8"/>
        <v>118.9971446400001</v>
      </c>
      <c r="AK19" s="4">
        <f t="shared" si="8"/>
        <v>120.9491360600001</v>
      </c>
      <c r="AL19" s="4">
        <f t="shared" si="8"/>
        <v>122.96324164000011</v>
      </c>
      <c r="AM19" s="4">
        <f t="shared" si="8"/>
        <v>125.03946138000011</v>
      </c>
      <c r="AN19" s="4">
        <f t="shared" si="8"/>
        <v>127.17779528000011</v>
      </c>
      <c r="AO19" s="4">
        <f t="shared" si="8"/>
        <v>129.37824334000013</v>
      </c>
      <c r="AP19" s="4">
        <f t="shared" si="8"/>
        <v>131.6408055600001</v>
      </c>
      <c r="AQ19" s="4">
        <f t="shared" si="8"/>
        <v>133.96548194000013</v>
      </c>
      <c r="AR19" s="4">
        <f t="shared" si="8"/>
        <v>136.35227248000012</v>
      </c>
      <c r="AS19" s="4">
        <f t="shared" si="8"/>
        <v>138.80117718000011</v>
      </c>
      <c r="AT19" s="4">
        <f t="shared" si="8"/>
        <v>141.31219604000012</v>
      </c>
      <c r="AU19" s="4">
        <f t="shared" si="8"/>
        <v>143.88532906000012</v>
      </c>
      <c r="AV19" s="4">
        <f t="shared" si="8"/>
        <v>146.52057624000014</v>
      </c>
      <c r="AW19" s="4">
        <f t="shared" si="8"/>
        <v>149.21793758000013</v>
      </c>
      <c r="AX19" s="4">
        <f t="shared" si="8"/>
        <v>151.97741308000013</v>
      </c>
      <c r="AY19" s="4">
        <f t="shared" si="8"/>
        <v>154.79900274000013</v>
      </c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</row>
    <row r="20" spans="2:91" x14ac:dyDescent="0.45">
      <c r="B20" s="2">
        <v>92</v>
      </c>
      <c r="C20" s="4">
        <f t="shared" si="2"/>
        <v>85.785504510810711</v>
      </c>
      <c r="D20" s="4">
        <f t="shared" si="2"/>
        <v>86.107003137297227</v>
      </c>
      <c r="E20" s="4">
        <f t="shared" si="2"/>
        <v>86.482893043783747</v>
      </c>
      <c r="F20" s="4">
        <f t="shared" si="7"/>
        <v>86.913174230270258</v>
      </c>
      <c r="G20" s="4">
        <f t="shared" si="7"/>
        <v>87.397846696756773</v>
      </c>
      <c r="H20" s="4">
        <f t="shared" si="7"/>
        <v>87.710039140000035</v>
      </c>
      <c r="I20" s="4">
        <f t="shared" si="7"/>
        <v>87.849751560000044</v>
      </c>
      <c r="J20" s="4">
        <f t="shared" si="7"/>
        <v>88.043855260000043</v>
      </c>
      <c r="K20" s="4">
        <f t="shared" si="7"/>
        <v>88.292350240000047</v>
      </c>
      <c r="L20" s="4">
        <f t="shared" si="7"/>
        <v>88.595236500000041</v>
      </c>
      <c r="M20" s="4">
        <f t="shared" si="7"/>
        <v>88.95251404000004</v>
      </c>
      <c r="N20" s="4">
        <f t="shared" si="7"/>
        <v>89.364182860000042</v>
      </c>
      <c r="O20" s="4">
        <f t="shared" si="7"/>
        <v>89.830242960000049</v>
      </c>
      <c r="P20" s="4">
        <f t="shared" si="7"/>
        <v>90.350694340000047</v>
      </c>
      <c r="Q20" s="4">
        <f t="shared" si="7"/>
        <v>90.925537000000048</v>
      </c>
      <c r="R20" s="4">
        <f t="shared" si="7"/>
        <v>91.554770940000054</v>
      </c>
      <c r="S20" s="4">
        <f t="shared" si="7"/>
        <v>92.23839616000005</v>
      </c>
      <c r="T20" s="4">
        <f t="shared" si="7"/>
        <v>92.976412660000065</v>
      </c>
      <c r="U20" s="4">
        <f t="shared" si="7"/>
        <v>93.768820440000056</v>
      </c>
      <c r="V20" s="4">
        <f t="shared" si="8"/>
        <v>94.615619500000065</v>
      </c>
      <c r="W20" s="4">
        <f t="shared" si="8"/>
        <v>95.516809840000064</v>
      </c>
      <c r="X20" s="4">
        <f t="shared" si="8"/>
        <v>96.472391460000068</v>
      </c>
      <c r="Y20" s="4">
        <f t="shared" si="8"/>
        <v>97.482364360000076</v>
      </c>
      <c r="Z20" s="4">
        <f t="shared" si="8"/>
        <v>98.546728540000075</v>
      </c>
      <c r="AA20" s="4">
        <f t="shared" si="8"/>
        <v>99.665484000000077</v>
      </c>
      <c r="AB20" s="4">
        <f t="shared" si="8"/>
        <v>100.83863074000007</v>
      </c>
      <c r="AC20" s="4">
        <f t="shared" si="8"/>
        <v>102.06616876000008</v>
      </c>
      <c r="AD20" s="4">
        <f t="shared" si="8"/>
        <v>103.34809806000008</v>
      </c>
      <c r="AE20" s="4">
        <f t="shared" si="8"/>
        <v>104.68441864000009</v>
      </c>
      <c r="AF20" s="4">
        <f t="shared" si="8"/>
        <v>106.07513050000009</v>
      </c>
      <c r="AG20" s="4">
        <f t="shared" si="8"/>
        <v>107.52023364000009</v>
      </c>
      <c r="AH20" s="4">
        <f t="shared" si="8"/>
        <v>109.01972806000009</v>
      </c>
      <c r="AI20" s="4">
        <f t="shared" si="8"/>
        <v>110.57361376000009</v>
      </c>
      <c r="AJ20" s="4">
        <f t="shared" si="8"/>
        <v>112.1818907400001</v>
      </c>
      <c r="AK20" s="4">
        <f t="shared" si="8"/>
        <v>113.8445590000001</v>
      </c>
      <c r="AL20" s="4">
        <f t="shared" si="8"/>
        <v>115.5616185400001</v>
      </c>
      <c r="AM20" s="4">
        <f t="shared" si="8"/>
        <v>117.33306936000011</v>
      </c>
      <c r="AN20" s="4">
        <f t="shared" si="8"/>
        <v>119.1589114600001</v>
      </c>
      <c r="AO20" s="4">
        <f t="shared" si="8"/>
        <v>121.03914484000011</v>
      </c>
      <c r="AP20" s="4">
        <f t="shared" si="8"/>
        <v>122.97376950000012</v>
      </c>
      <c r="AQ20" s="4">
        <f t="shared" si="8"/>
        <v>124.96278544000012</v>
      </c>
      <c r="AR20" s="4">
        <f t="shared" si="8"/>
        <v>127.00619266000011</v>
      </c>
      <c r="AS20" s="4">
        <f t="shared" si="8"/>
        <v>129.10399116000011</v>
      </c>
      <c r="AT20" s="4">
        <f t="shared" si="8"/>
        <v>131.25618094000012</v>
      </c>
      <c r="AU20" s="4">
        <f t="shared" si="8"/>
        <v>133.46276200000011</v>
      </c>
      <c r="AV20" s="4">
        <f t="shared" si="8"/>
        <v>135.72373434000014</v>
      </c>
      <c r="AW20" s="4">
        <f t="shared" si="8"/>
        <v>138.03909796000013</v>
      </c>
      <c r="AX20" s="4">
        <f t="shared" si="8"/>
        <v>140.40885286000014</v>
      </c>
      <c r="AY20" s="4">
        <f t="shared" si="8"/>
        <v>142.83299904000015</v>
      </c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</row>
    <row r="21" spans="2:91" x14ac:dyDescent="0.45">
      <c r="B21" s="2">
        <v>90</v>
      </c>
      <c r="C21" s="4">
        <f t="shared" si="2"/>
        <v>84.321205146562207</v>
      </c>
      <c r="D21" s="4">
        <f t="shared" si="2"/>
        <v>84.593918511770624</v>
      </c>
      <c r="E21" s="4">
        <f t="shared" si="2"/>
        <v>84.913172916979022</v>
      </c>
      <c r="F21" s="4">
        <f t="shared" si="7"/>
        <v>85.278968362187427</v>
      </c>
      <c r="G21" s="4">
        <f t="shared" si="7"/>
        <v>85.691304847395827</v>
      </c>
      <c r="H21" s="4">
        <f t="shared" si="7"/>
        <v>85.940140360000029</v>
      </c>
      <c r="I21" s="4">
        <f t="shared" si="7"/>
        <v>86.025474900000034</v>
      </c>
      <c r="J21" s="4">
        <f t="shared" si="7"/>
        <v>86.157350480000034</v>
      </c>
      <c r="K21" s="4">
        <f t="shared" si="7"/>
        <v>86.335767100000041</v>
      </c>
      <c r="L21" s="4">
        <f t="shared" si="7"/>
        <v>86.560724760000042</v>
      </c>
      <c r="M21" s="4">
        <f t="shared" si="7"/>
        <v>86.832223460000037</v>
      </c>
      <c r="N21" s="4">
        <f t="shared" si="7"/>
        <v>87.15026320000004</v>
      </c>
      <c r="O21" s="4">
        <f t="shared" si="7"/>
        <v>87.514843980000052</v>
      </c>
      <c r="P21" s="4">
        <f t="shared" si="7"/>
        <v>87.925965800000043</v>
      </c>
      <c r="Q21" s="4">
        <f t="shared" si="7"/>
        <v>88.383628660000056</v>
      </c>
      <c r="R21" s="4">
        <f t="shared" si="7"/>
        <v>88.887832560000049</v>
      </c>
      <c r="S21" s="4">
        <f t="shared" si="7"/>
        <v>89.438577500000051</v>
      </c>
      <c r="T21" s="4">
        <f t="shared" si="7"/>
        <v>90.03586348000006</v>
      </c>
      <c r="U21" s="4">
        <f t="shared" si="7"/>
        <v>90.679690500000063</v>
      </c>
      <c r="V21" s="4">
        <f t="shared" si="8"/>
        <v>91.370058560000061</v>
      </c>
      <c r="W21" s="4">
        <f t="shared" si="8"/>
        <v>92.106967660000066</v>
      </c>
      <c r="X21" s="4">
        <f t="shared" si="8"/>
        <v>92.890417800000066</v>
      </c>
      <c r="Y21" s="4">
        <f t="shared" si="8"/>
        <v>93.720408980000073</v>
      </c>
      <c r="Z21" s="4">
        <f t="shared" si="8"/>
        <v>94.596941200000074</v>
      </c>
      <c r="AA21" s="4">
        <f t="shared" si="8"/>
        <v>95.52001446000007</v>
      </c>
      <c r="AB21" s="4">
        <f t="shared" si="8"/>
        <v>96.489628760000073</v>
      </c>
      <c r="AC21" s="4">
        <f t="shared" si="8"/>
        <v>97.505784100000071</v>
      </c>
      <c r="AD21" s="4">
        <f t="shared" si="8"/>
        <v>98.568480480000076</v>
      </c>
      <c r="AE21" s="4">
        <f t="shared" si="8"/>
        <v>99.677717900000076</v>
      </c>
      <c r="AF21" s="4">
        <f t="shared" si="8"/>
        <v>100.83349636000008</v>
      </c>
      <c r="AG21" s="4">
        <f t="shared" si="8"/>
        <v>102.03581586000008</v>
      </c>
      <c r="AH21" s="4">
        <f t="shared" si="8"/>
        <v>103.28467640000008</v>
      </c>
      <c r="AI21" s="4">
        <f t="shared" si="8"/>
        <v>104.58007798000008</v>
      </c>
      <c r="AJ21" s="4">
        <f t="shared" si="8"/>
        <v>105.9220206000001</v>
      </c>
      <c r="AK21" s="4">
        <f t="shared" si="8"/>
        <v>107.31050426000009</v>
      </c>
      <c r="AL21" s="4">
        <f t="shared" si="8"/>
        <v>108.7455289600001</v>
      </c>
      <c r="AM21" s="4">
        <f t="shared" si="8"/>
        <v>110.22709470000009</v>
      </c>
      <c r="AN21" s="4">
        <f t="shared" si="8"/>
        <v>111.7552014800001</v>
      </c>
      <c r="AO21" s="4">
        <f t="shared" si="8"/>
        <v>113.32984930000011</v>
      </c>
      <c r="AP21" s="4">
        <f t="shared" si="8"/>
        <v>114.95103816000011</v>
      </c>
      <c r="AQ21" s="4">
        <f t="shared" si="8"/>
        <v>116.61876806000011</v>
      </c>
      <c r="AR21" s="4">
        <f t="shared" si="8"/>
        <v>118.33303900000011</v>
      </c>
      <c r="AS21" s="4">
        <f t="shared" si="8"/>
        <v>120.09385098000011</v>
      </c>
      <c r="AT21" s="4">
        <f t="shared" si="8"/>
        <v>121.90120400000012</v>
      </c>
      <c r="AU21" s="4">
        <f t="shared" si="8"/>
        <v>123.75509806000012</v>
      </c>
      <c r="AV21" s="4">
        <f t="shared" si="8"/>
        <v>125.65553316000012</v>
      </c>
      <c r="AW21" s="4">
        <f t="shared" si="8"/>
        <v>127.60250930000012</v>
      </c>
      <c r="AX21" s="4">
        <f t="shared" si="8"/>
        <v>129.59602648000012</v>
      </c>
      <c r="AY21" s="4">
        <f t="shared" si="8"/>
        <v>131.63608470000014</v>
      </c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</row>
    <row r="22" spans="2:91" x14ac:dyDescent="0.45">
      <c r="B22" s="2">
        <v>88</v>
      </c>
      <c r="C22" s="4">
        <f t="shared" si="2"/>
        <v>82.854511375093452</v>
      </c>
      <c r="D22" s="4">
        <f t="shared" si="2"/>
        <v>83.09483796951713</v>
      </c>
      <c r="E22" s="4">
        <f t="shared" si="2"/>
        <v>83.373728003940812</v>
      </c>
      <c r="F22" s="4">
        <f t="shared" si="7"/>
        <v>83.691181478364499</v>
      </c>
      <c r="G22" s="4">
        <f t="shared" si="7"/>
        <v>84.047198392788189</v>
      </c>
      <c r="H22" s="4">
        <f t="shared" si="7"/>
        <v>84.250037500000033</v>
      </c>
      <c r="I22" s="4">
        <f t="shared" si="7"/>
        <v>84.29969880000003</v>
      </c>
      <c r="J22" s="4">
        <f t="shared" si="7"/>
        <v>84.387923540000031</v>
      </c>
      <c r="K22" s="4">
        <f t="shared" si="7"/>
        <v>84.514711720000037</v>
      </c>
      <c r="L22" s="4">
        <f t="shared" si="7"/>
        <v>84.680063340000046</v>
      </c>
      <c r="M22" s="4">
        <f t="shared" si="7"/>
        <v>84.883978400000046</v>
      </c>
      <c r="N22" s="4">
        <f t="shared" si="7"/>
        <v>85.126456900000036</v>
      </c>
      <c r="O22" s="4">
        <f t="shared" si="7"/>
        <v>85.407498840000045</v>
      </c>
      <c r="P22" s="4">
        <f t="shared" si="7"/>
        <v>85.727104220000044</v>
      </c>
      <c r="Q22" s="4">
        <f t="shared" si="7"/>
        <v>86.085273040000047</v>
      </c>
      <c r="R22" s="4">
        <f t="shared" si="7"/>
        <v>86.482005300000054</v>
      </c>
      <c r="S22" s="4">
        <f t="shared" si="7"/>
        <v>86.917301000000052</v>
      </c>
      <c r="T22" s="4">
        <f t="shared" si="7"/>
        <v>87.391160140000054</v>
      </c>
      <c r="U22" s="4">
        <f t="shared" si="7"/>
        <v>87.90358272000006</v>
      </c>
      <c r="V22" s="4">
        <f t="shared" si="8"/>
        <v>88.454568740000056</v>
      </c>
      <c r="W22" s="4">
        <f t="shared" si="8"/>
        <v>89.044118200000057</v>
      </c>
      <c r="X22" s="4">
        <f t="shared" si="8"/>
        <v>89.672231100000062</v>
      </c>
      <c r="Y22" s="4">
        <f t="shared" si="8"/>
        <v>90.338907440000057</v>
      </c>
      <c r="Z22" s="4">
        <f t="shared" si="8"/>
        <v>91.04414722000007</v>
      </c>
      <c r="AA22" s="4">
        <f t="shared" si="8"/>
        <v>91.787950440000074</v>
      </c>
      <c r="AB22" s="4">
        <f t="shared" si="8"/>
        <v>92.570317100000068</v>
      </c>
      <c r="AC22" s="4">
        <f t="shared" si="8"/>
        <v>93.391247200000066</v>
      </c>
      <c r="AD22" s="4">
        <f t="shared" si="8"/>
        <v>94.250740740000069</v>
      </c>
      <c r="AE22" s="4">
        <f t="shared" si="8"/>
        <v>95.148797720000076</v>
      </c>
      <c r="AF22" s="4">
        <f t="shared" si="8"/>
        <v>96.085418140000073</v>
      </c>
      <c r="AG22" s="4">
        <f t="shared" si="8"/>
        <v>97.060602000000074</v>
      </c>
      <c r="AH22" s="4">
        <f t="shared" si="8"/>
        <v>98.07434930000008</v>
      </c>
      <c r="AI22" s="4">
        <f t="shared" si="8"/>
        <v>99.12666004000009</v>
      </c>
      <c r="AJ22" s="4">
        <f t="shared" si="8"/>
        <v>100.21753422000009</v>
      </c>
      <c r="AK22" s="4">
        <f t="shared" si="8"/>
        <v>101.34697184000009</v>
      </c>
      <c r="AL22" s="4">
        <f t="shared" si="8"/>
        <v>102.51497290000009</v>
      </c>
      <c r="AM22" s="4">
        <f t="shared" si="8"/>
        <v>103.72153740000009</v>
      </c>
      <c r="AN22" s="4">
        <f t="shared" si="8"/>
        <v>104.96666534000009</v>
      </c>
      <c r="AO22" s="4">
        <f t="shared" si="8"/>
        <v>106.2503567200001</v>
      </c>
      <c r="AP22" s="4">
        <f t="shared" si="8"/>
        <v>107.5726115400001</v>
      </c>
      <c r="AQ22" s="4">
        <f t="shared" si="8"/>
        <v>108.9334298000001</v>
      </c>
      <c r="AR22" s="4">
        <f t="shared" si="8"/>
        <v>110.3328115000001</v>
      </c>
      <c r="AS22" s="4">
        <f t="shared" si="8"/>
        <v>111.7707566400001</v>
      </c>
      <c r="AT22" s="4">
        <f t="shared" si="8"/>
        <v>113.24726522000012</v>
      </c>
      <c r="AU22" s="4">
        <f t="shared" si="8"/>
        <v>114.76233724000011</v>
      </c>
      <c r="AV22" s="4">
        <f t="shared" si="8"/>
        <v>116.31597270000012</v>
      </c>
      <c r="AW22" s="4">
        <f t="shared" si="8"/>
        <v>117.90817160000012</v>
      </c>
      <c r="AX22" s="4">
        <f t="shared" si="8"/>
        <v>119.53893394000012</v>
      </c>
      <c r="AY22" s="4">
        <f t="shared" si="8"/>
        <v>121.20825972000013</v>
      </c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</row>
    <row r="23" spans="2:91" x14ac:dyDescent="0.45">
      <c r="B23" s="2">
        <v>86</v>
      </c>
      <c r="C23" s="4">
        <f t="shared" si="2"/>
        <v>81.389656993717438</v>
      </c>
      <c r="D23" s="4">
        <f t="shared" si="2"/>
        <v>81.61305446400246</v>
      </c>
      <c r="E23" s="4">
        <f t="shared" si="2"/>
        <v>81.866910414287474</v>
      </c>
      <c r="F23" s="4">
        <f t="shared" si="7"/>
        <v>82.151224844572496</v>
      </c>
      <c r="G23" s="4">
        <f t="shared" si="7"/>
        <v>82.465997754857511</v>
      </c>
      <c r="H23" s="4">
        <f t="shared" si="7"/>
        <v>82.639730560000032</v>
      </c>
      <c r="I23" s="4">
        <f t="shared" si="7"/>
        <v>82.672423260000031</v>
      </c>
      <c r="J23" s="4">
        <f t="shared" si="7"/>
        <v>82.735574440000036</v>
      </c>
      <c r="K23" s="4">
        <f t="shared" si="7"/>
        <v>82.829184100000035</v>
      </c>
      <c r="L23" s="4">
        <f t="shared" si="7"/>
        <v>82.95325224000004</v>
      </c>
      <c r="M23" s="4">
        <f t="shared" si="7"/>
        <v>83.107778860000039</v>
      </c>
      <c r="N23" s="4">
        <f t="shared" si="7"/>
        <v>83.292763960000045</v>
      </c>
      <c r="O23" s="4">
        <f t="shared" si="7"/>
        <v>83.508207540000043</v>
      </c>
      <c r="P23" s="4">
        <f t="shared" si="7"/>
        <v>83.754109600000049</v>
      </c>
      <c r="Q23" s="4">
        <f t="shared" si="7"/>
        <v>84.030470140000048</v>
      </c>
      <c r="R23" s="4">
        <f t="shared" si="7"/>
        <v>84.337289160000054</v>
      </c>
      <c r="S23" s="4">
        <f t="shared" si="7"/>
        <v>84.674566660000053</v>
      </c>
      <c r="T23" s="4">
        <f t="shared" si="7"/>
        <v>85.042302640000045</v>
      </c>
      <c r="U23" s="4">
        <f t="shared" si="7"/>
        <v>85.440497100000059</v>
      </c>
      <c r="V23" s="4">
        <f t="shared" ref="V23:AY25" si="9">CalculateHeatIndex($B23,V$2)</f>
        <v>85.869150040000051</v>
      </c>
      <c r="W23" s="4">
        <f t="shared" si="9"/>
        <v>86.32826146000005</v>
      </c>
      <c r="X23" s="4">
        <f t="shared" si="9"/>
        <v>86.817831360000056</v>
      </c>
      <c r="Y23" s="4">
        <f t="shared" si="9"/>
        <v>87.337859740000056</v>
      </c>
      <c r="Z23" s="4">
        <f t="shared" si="9"/>
        <v>87.888346600000062</v>
      </c>
      <c r="AA23" s="4">
        <f t="shared" si="9"/>
        <v>88.469291940000062</v>
      </c>
      <c r="AB23" s="4">
        <f t="shared" si="9"/>
        <v>89.080695760000069</v>
      </c>
      <c r="AC23" s="4">
        <f t="shared" si="9"/>
        <v>89.722558060000068</v>
      </c>
      <c r="AD23" s="4">
        <f t="shared" si="9"/>
        <v>90.394878840000075</v>
      </c>
      <c r="AE23" s="4">
        <f t="shared" si="9"/>
        <v>91.097658100000075</v>
      </c>
      <c r="AF23" s="4">
        <f t="shared" si="9"/>
        <v>91.830895840000068</v>
      </c>
      <c r="AG23" s="4">
        <f t="shared" si="9"/>
        <v>92.594592060000082</v>
      </c>
      <c r="AH23" s="4">
        <f t="shared" si="9"/>
        <v>93.388746760000075</v>
      </c>
      <c r="AI23" s="4">
        <f t="shared" si="9"/>
        <v>94.213359940000075</v>
      </c>
      <c r="AJ23" s="4">
        <f t="shared" si="9"/>
        <v>95.068431600000082</v>
      </c>
      <c r="AK23" s="4">
        <f t="shared" si="9"/>
        <v>95.953961740000082</v>
      </c>
      <c r="AL23" s="4">
        <f t="shared" si="9"/>
        <v>96.86995036000009</v>
      </c>
      <c r="AM23" s="4">
        <f t="shared" si="9"/>
        <v>97.81639746000009</v>
      </c>
      <c r="AN23" s="4">
        <f t="shared" si="9"/>
        <v>98.793303040000097</v>
      </c>
      <c r="AO23" s="4">
        <f t="shared" si="9"/>
        <v>99.800667100000098</v>
      </c>
      <c r="AP23" s="4">
        <f t="shared" si="9"/>
        <v>100.83848964000009</v>
      </c>
      <c r="AQ23" s="4">
        <f t="shared" si="9"/>
        <v>101.90677066000009</v>
      </c>
      <c r="AR23" s="4">
        <f t="shared" si="9"/>
        <v>103.0255101600001</v>
      </c>
      <c r="AS23" s="4">
        <f t="shared" si="9"/>
        <v>104.1947081400001</v>
      </c>
      <c r="AT23" s="4">
        <f t="shared" si="9"/>
        <v>105.3943646000001</v>
      </c>
      <c r="AU23" s="4">
        <f t="shared" si="9"/>
        <v>106.62447954000011</v>
      </c>
      <c r="AV23" s="4">
        <f t="shared" si="9"/>
        <v>107.88505296000011</v>
      </c>
      <c r="AW23" s="4">
        <f t="shared" si="9"/>
        <v>109.17608486000012</v>
      </c>
      <c r="AX23" s="4">
        <f t="shared" si="9"/>
        <v>110.49757524000012</v>
      </c>
      <c r="AY23" s="4">
        <f t="shared" si="9"/>
        <v>111.84952410000011</v>
      </c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</row>
    <row r="24" spans="2:91" x14ac:dyDescent="0.45">
      <c r="B24" s="2">
        <v>84</v>
      </c>
      <c r="C24" s="4">
        <f t="shared" si="2"/>
        <v>79.933769056981518</v>
      </c>
      <c r="D24" s="4">
        <f t="shared" si="2"/>
        <v>80.154111259874512</v>
      </c>
      <c r="E24" s="4">
        <f t="shared" si="2"/>
        <v>80.396679622767522</v>
      </c>
      <c r="F24" s="4">
        <f t="shared" si="7"/>
        <v>80.66147414566052</v>
      </c>
      <c r="G24" s="4">
        <f t="shared" si="7"/>
        <v>80.948494828553535</v>
      </c>
      <c r="H24" s="4">
        <f t="shared" si="7"/>
        <v>81.109219540000026</v>
      </c>
      <c r="I24" s="4">
        <f t="shared" si="7"/>
        <v>81.143648280000036</v>
      </c>
      <c r="J24" s="4">
        <f t="shared" si="7"/>
        <v>81.200303180000034</v>
      </c>
      <c r="K24" s="4">
        <f t="shared" si="7"/>
        <v>81.279184240000035</v>
      </c>
      <c r="L24" s="4">
        <f t="shared" si="7"/>
        <v>81.380291460000038</v>
      </c>
      <c r="M24" s="4">
        <f t="shared" si="7"/>
        <v>81.503624840000043</v>
      </c>
      <c r="N24" s="4">
        <f t="shared" si="7"/>
        <v>81.649184380000037</v>
      </c>
      <c r="O24" s="4">
        <f t="shared" si="7"/>
        <v>81.816970080000047</v>
      </c>
      <c r="P24" s="4">
        <f t="shared" si="7"/>
        <v>82.006981940000045</v>
      </c>
      <c r="Q24" s="4">
        <f t="shared" si="7"/>
        <v>82.219219960000046</v>
      </c>
      <c r="R24" s="4">
        <f t="shared" si="7"/>
        <v>82.45368414000005</v>
      </c>
      <c r="S24" s="4">
        <f t="shared" si="7"/>
        <v>82.710374480000041</v>
      </c>
      <c r="T24" s="4">
        <f t="shared" si="7"/>
        <v>82.98929098000005</v>
      </c>
      <c r="U24" s="4">
        <f t="shared" si="7"/>
        <v>83.290433640000046</v>
      </c>
      <c r="V24" s="4">
        <f t="shared" si="9"/>
        <v>83.613802460000059</v>
      </c>
      <c r="W24" s="4">
        <f t="shared" si="9"/>
        <v>83.95939744000006</v>
      </c>
      <c r="X24" s="4">
        <f t="shared" si="9"/>
        <v>84.32721858000005</v>
      </c>
      <c r="Y24" s="4">
        <f t="shared" si="9"/>
        <v>84.717265880000056</v>
      </c>
      <c r="Z24" s="4">
        <f t="shared" si="9"/>
        <v>85.129539340000065</v>
      </c>
      <c r="AA24" s="4">
        <f t="shared" si="9"/>
        <v>85.564038960000062</v>
      </c>
      <c r="AB24" s="4">
        <f t="shared" si="9"/>
        <v>86.020764740000061</v>
      </c>
      <c r="AC24" s="4">
        <f t="shared" si="9"/>
        <v>86.499716680000063</v>
      </c>
      <c r="AD24" s="4">
        <f t="shared" si="9"/>
        <v>87.000894780000067</v>
      </c>
      <c r="AE24" s="4">
        <f t="shared" si="9"/>
        <v>87.524299040000074</v>
      </c>
      <c r="AF24" s="4">
        <f t="shared" si="9"/>
        <v>88.069929460000068</v>
      </c>
      <c r="AG24" s="4">
        <f t="shared" si="9"/>
        <v>88.637786040000066</v>
      </c>
      <c r="AH24" s="4">
        <f t="shared" si="9"/>
        <v>89.22786878000008</v>
      </c>
      <c r="AI24" s="4">
        <f t="shared" si="9"/>
        <v>89.840177680000082</v>
      </c>
      <c r="AJ24" s="4">
        <f t="shared" si="9"/>
        <v>90.474712740000072</v>
      </c>
      <c r="AK24" s="4">
        <f t="shared" si="9"/>
        <v>91.131473960000079</v>
      </c>
      <c r="AL24" s="4">
        <f t="shared" si="9"/>
        <v>91.810461340000089</v>
      </c>
      <c r="AM24" s="4">
        <f t="shared" si="9"/>
        <v>92.511674880000086</v>
      </c>
      <c r="AN24" s="4">
        <f t="shared" si="9"/>
        <v>93.235114580000086</v>
      </c>
      <c r="AO24" s="4">
        <f t="shared" si="9"/>
        <v>93.980780440000089</v>
      </c>
      <c r="AP24" s="4">
        <f t="shared" si="9"/>
        <v>94.748672460000094</v>
      </c>
      <c r="AQ24" s="4">
        <f t="shared" si="9"/>
        <v>95.538790640000087</v>
      </c>
      <c r="AR24" s="4">
        <f t="shared" si="9"/>
        <v>96.411134980000099</v>
      </c>
      <c r="AS24" s="4">
        <f t="shared" si="9"/>
        <v>97.365705480000102</v>
      </c>
      <c r="AT24" s="4">
        <f t="shared" si="9"/>
        <v>98.342502140000093</v>
      </c>
      <c r="AU24" s="4">
        <f t="shared" si="9"/>
        <v>99.3415249600001</v>
      </c>
      <c r="AV24" s="4">
        <f t="shared" si="9"/>
        <v>100.36277394000011</v>
      </c>
      <c r="AW24" s="4">
        <f t="shared" si="9"/>
        <v>101.40624908000011</v>
      </c>
      <c r="AX24" s="4">
        <f t="shared" si="9"/>
        <v>102.47195038000011</v>
      </c>
      <c r="AY24" s="4">
        <f t="shared" si="9"/>
        <v>103.55987784000011</v>
      </c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</row>
    <row r="25" spans="2:91" x14ac:dyDescent="0.45">
      <c r="B25" s="2">
        <v>82</v>
      </c>
      <c r="C25" s="4">
        <f t="shared" si="2"/>
        <v>78.500744227336526</v>
      </c>
      <c r="D25" s="4">
        <f t="shared" si="2"/>
        <v>78.72881687237286</v>
      </c>
      <c r="E25" s="4">
        <f t="shared" si="2"/>
        <v>78.970755997409185</v>
      </c>
      <c r="F25" s="4">
        <f t="shared" si="7"/>
        <v>79.226561602445528</v>
      </c>
      <c r="G25" s="4">
        <f t="shared" si="7"/>
        <v>79.496233687481862</v>
      </c>
      <c r="H25" s="4">
        <f t="shared" si="7"/>
        <v>79.65850444000003</v>
      </c>
      <c r="I25" s="4">
        <f t="shared" si="7"/>
        <v>79.713373860000033</v>
      </c>
      <c r="J25" s="4">
        <f t="shared" si="7"/>
        <v>79.782109760000026</v>
      </c>
      <c r="K25" s="4">
        <f t="shared" si="7"/>
        <v>79.864712140000037</v>
      </c>
      <c r="L25" s="4">
        <f t="shared" si="7"/>
        <v>79.961181000000039</v>
      </c>
      <c r="M25" s="4">
        <f t="shared" si="7"/>
        <v>80.071516340000031</v>
      </c>
      <c r="N25" s="4">
        <f t="shared" si="7"/>
        <v>80.195718160000041</v>
      </c>
      <c r="O25" s="4">
        <f t="shared" si="7"/>
        <v>80.333786460000042</v>
      </c>
      <c r="P25" s="4">
        <f t="shared" si="7"/>
        <v>80.485721240000046</v>
      </c>
      <c r="Q25" s="4">
        <f t="shared" si="7"/>
        <v>80.651522500000041</v>
      </c>
      <c r="R25" s="4">
        <f t="shared" si="7"/>
        <v>80.831190240000041</v>
      </c>
      <c r="S25" s="4">
        <f t="shared" si="7"/>
        <v>81.024724460000044</v>
      </c>
      <c r="T25" s="4">
        <f t="shared" si="7"/>
        <v>81.232125160000052</v>
      </c>
      <c r="U25" s="4">
        <f t="shared" si="7"/>
        <v>81.45339234000005</v>
      </c>
      <c r="V25" s="4">
        <f t="shared" si="9"/>
        <v>81.688526000000053</v>
      </c>
      <c r="W25" s="4">
        <f t="shared" si="9"/>
        <v>81.937526140000045</v>
      </c>
      <c r="X25" s="4">
        <f t="shared" si="9"/>
        <v>82.200392760000057</v>
      </c>
      <c r="Y25" s="4">
        <f t="shared" si="9"/>
        <v>82.477125860000058</v>
      </c>
      <c r="Z25" s="4">
        <f t="shared" si="9"/>
        <v>82.767725440000063</v>
      </c>
      <c r="AA25" s="4">
        <f t="shared" si="9"/>
        <v>83.072191500000059</v>
      </c>
      <c r="AB25" s="4">
        <f t="shared" si="9"/>
        <v>83.390524040000059</v>
      </c>
      <c r="AC25" s="4">
        <f t="shared" si="9"/>
        <v>83.722723060000064</v>
      </c>
      <c r="AD25" s="4">
        <f t="shared" si="9"/>
        <v>84.068788560000058</v>
      </c>
      <c r="AE25" s="4">
        <f t="shared" si="9"/>
        <v>84.428720540000072</v>
      </c>
      <c r="AF25" s="4">
        <f t="shared" si="9"/>
        <v>84.802519000000061</v>
      </c>
      <c r="AG25" s="4">
        <f t="shared" si="9"/>
        <v>85.190183940000068</v>
      </c>
      <c r="AH25" s="4">
        <f t="shared" si="9"/>
        <v>85.591715360000066</v>
      </c>
      <c r="AI25" s="4">
        <f t="shared" si="9"/>
        <v>86.007113260000068</v>
      </c>
      <c r="AJ25" s="4">
        <f t="shared" si="9"/>
        <v>86.436377640000075</v>
      </c>
      <c r="AK25" s="4">
        <f t="shared" si="9"/>
        <v>86.879508500000071</v>
      </c>
      <c r="AL25" s="4">
        <f t="shared" si="9"/>
        <v>87.336505840000072</v>
      </c>
      <c r="AM25" s="4">
        <f t="shared" si="9"/>
        <v>87.807369660000077</v>
      </c>
      <c r="AN25" s="4">
        <f t="shared" si="9"/>
        <v>88.292099960000087</v>
      </c>
      <c r="AO25" s="4">
        <f t="shared" si="9"/>
        <v>88.790696740000087</v>
      </c>
      <c r="AP25" s="4">
        <f t="shared" si="9"/>
        <v>89.303160000000091</v>
      </c>
      <c r="AQ25" s="4">
        <f t="shared" si="9"/>
        <v>89.829489740000085</v>
      </c>
      <c r="AR25" s="4">
        <f t="shared" si="9"/>
        <v>90.469685960000078</v>
      </c>
      <c r="AS25" s="4">
        <f t="shared" si="9"/>
        <v>91.223748660000084</v>
      </c>
      <c r="AT25" s="4">
        <f t="shared" si="9"/>
        <v>91.991677840000094</v>
      </c>
      <c r="AU25" s="4">
        <f t="shared" si="9"/>
        <v>92.773473500000094</v>
      </c>
      <c r="AV25" s="4">
        <f t="shared" si="9"/>
        <v>93.569135640000098</v>
      </c>
      <c r="AW25" s="4">
        <f t="shared" si="9"/>
        <v>94.378664260000093</v>
      </c>
      <c r="AX25" s="4">
        <f t="shared" si="9"/>
        <v>95.202059360000106</v>
      </c>
      <c r="AY25" s="4">
        <f t="shared" si="9"/>
        <v>96.03932094000011</v>
      </c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</row>
    <row r="26" spans="2:91" x14ac:dyDescent="0.45">
      <c r="B26" s="2">
        <v>80</v>
      </c>
      <c r="C26" s="4">
        <f>CalculateHeatIndex($B26,C$2)</f>
        <v>77.888000000000005</v>
      </c>
      <c r="D26" s="4">
        <f t="shared" si="2"/>
        <v>77.981999999999999</v>
      </c>
      <c r="E26" s="4">
        <f t="shared" si="2"/>
        <v>78.075999999999993</v>
      </c>
      <c r="F26" s="4">
        <f t="shared" si="7"/>
        <v>78.17</v>
      </c>
      <c r="G26" s="4">
        <f t="shared" si="7"/>
        <v>78.263999999999996</v>
      </c>
      <c r="H26" s="4">
        <f t="shared" si="7"/>
        <v>78.358000000000004</v>
      </c>
      <c r="I26" s="4">
        <f t="shared" si="7"/>
        <v>78.451999999999998</v>
      </c>
      <c r="J26" s="4">
        <f t="shared" si="7"/>
        <v>78.546000000000006</v>
      </c>
      <c r="K26" s="4">
        <f t="shared" si="7"/>
        <v>78.64</v>
      </c>
      <c r="L26" s="4">
        <f t="shared" si="7"/>
        <v>78.733999999999995</v>
      </c>
      <c r="M26" s="4">
        <f t="shared" si="7"/>
        <v>78.828000000000003</v>
      </c>
      <c r="N26" s="4">
        <f t="shared" si="7"/>
        <v>78.921999999999997</v>
      </c>
      <c r="O26" s="4">
        <f t="shared" si="7"/>
        <v>79.016000000000005</v>
      </c>
      <c r="P26" s="4">
        <f t="shared" si="7"/>
        <v>79.11</v>
      </c>
      <c r="Q26" s="4">
        <f t="shared" si="7"/>
        <v>79.203999999999994</v>
      </c>
      <c r="R26" s="4">
        <f t="shared" si="7"/>
        <v>79.298000000000002</v>
      </c>
      <c r="S26" s="4">
        <f t="shared" si="7"/>
        <v>79.391999999999996</v>
      </c>
      <c r="T26" s="4">
        <f t="shared" si="7"/>
        <v>79.486000000000004</v>
      </c>
      <c r="U26" s="4">
        <f t="shared" si="7"/>
        <v>79.58</v>
      </c>
      <c r="V26" s="4">
        <f t="shared" ref="V26:AY28" si="10">CalculateHeatIndex($B26,V$2)</f>
        <v>79.674000000000007</v>
      </c>
      <c r="W26" s="4">
        <f t="shared" si="10"/>
        <v>79.768000000000001</v>
      </c>
      <c r="X26" s="4">
        <f t="shared" si="10"/>
        <v>79.861999999999995</v>
      </c>
      <c r="Y26" s="4">
        <f t="shared" si="10"/>
        <v>79.956000000000003</v>
      </c>
      <c r="Z26" s="4">
        <f t="shared" si="10"/>
        <v>80.802904900000058</v>
      </c>
      <c r="AA26" s="4">
        <f t="shared" si="10"/>
        <v>80.993749560000055</v>
      </c>
      <c r="AB26" s="4">
        <f t="shared" si="10"/>
        <v>81.189973660000064</v>
      </c>
      <c r="AC26" s="4">
        <f t="shared" si="10"/>
        <v>81.391577200000057</v>
      </c>
      <c r="AD26" s="4">
        <f t="shared" si="10"/>
        <v>81.598560180000064</v>
      </c>
      <c r="AE26" s="4">
        <f t="shared" si="10"/>
        <v>81.810922600000055</v>
      </c>
      <c r="AF26" s="4">
        <f t="shared" si="10"/>
        <v>82.028664460000059</v>
      </c>
      <c r="AG26" s="4">
        <f t="shared" si="10"/>
        <v>82.251785760000061</v>
      </c>
      <c r="AH26" s="4">
        <f t="shared" si="10"/>
        <v>82.480286500000062</v>
      </c>
      <c r="AI26" s="4">
        <f t="shared" si="10"/>
        <v>82.714166680000062</v>
      </c>
      <c r="AJ26" s="4">
        <f t="shared" si="10"/>
        <v>82.953426300000075</v>
      </c>
      <c r="AK26" s="4">
        <f t="shared" si="10"/>
        <v>83.198065360000072</v>
      </c>
      <c r="AL26" s="4">
        <f t="shared" si="10"/>
        <v>83.448083860000068</v>
      </c>
      <c r="AM26" s="4">
        <f t="shared" si="10"/>
        <v>83.703481800000077</v>
      </c>
      <c r="AN26" s="4">
        <f t="shared" si="10"/>
        <v>83.964259180000084</v>
      </c>
      <c r="AO26" s="4">
        <f t="shared" si="10"/>
        <v>84.230416000000076</v>
      </c>
      <c r="AP26" s="4">
        <f t="shared" si="10"/>
        <v>84.501952260000081</v>
      </c>
      <c r="AQ26" s="4">
        <f t="shared" si="10"/>
        <v>84.778867960000085</v>
      </c>
      <c r="AR26" s="4">
        <f t="shared" si="10"/>
        <v>85.201163100000088</v>
      </c>
      <c r="AS26" s="4">
        <f t="shared" si="10"/>
        <v>85.76883768000009</v>
      </c>
      <c r="AT26" s="4">
        <f t="shared" si="10"/>
        <v>86.34189170000009</v>
      </c>
      <c r="AU26" s="4">
        <f t="shared" si="10"/>
        <v>86.92032516000009</v>
      </c>
      <c r="AV26" s="4">
        <f t="shared" si="10"/>
        <v>87.504138060000102</v>
      </c>
      <c r="AW26" s="4">
        <f t="shared" si="10"/>
        <v>88.093330400000099</v>
      </c>
      <c r="AX26" s="4">
        <f t="shared" si="10"/>
        <v>88.687902180000094</v>
      </c>
      <c r="AY26" s="4">
        <f t="shared" si="10"/>
        <v>89.287853400000088</v>
      </c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</row>
    <row r="27" spans="2:91" x14ac:dyDescent="0.45">
      <c r="B27" s="2">
        <v>78</v>
      </c>
      <c r="C27" s="4">
        <f>CalculateHeatIndex($B27,C$2)</f>
        <v>75.688000000000002</v>
      </c>
      <c r="D27" s="4">
        <f t="shared" si="2"/>
        <v>75.781999999999996</v>
      </c>
      <c r="E27" s="4">
        <f t="shared" si="2"/>
        <v>75.876000000000005</v>
      </c>
      <c r="F27" s="4">
        <f t="shared" si="7"/>
        <v>75.97</v>
      </c>
      <c r="G27" s="4">
        <f t="shared" si="7"/>
        <v>76.063999999999993</v>
      </c>
      <c r="H27" s="4">
        <f t="shared" si="7"/>
        <v>76.158000000000001</v>
      </c>
      <c r="I27" s="4">
        <f t="shared" si="7"/>
        <v>76.251999999999995</v>
      </c>
      <c r="J27" s="4">
        <f t="shared" si="7"/>
        <v>76.346000000000004</v>
      </c>
      <c r="K27" s="4">
        <f t="shared" si="7"/>
        <v>76.44</v>
      </c>
      <c r="L27" s="4">
        <f t="shared" si="7"/>
        <v>76.534000000000006</v>
      </c>
      <c r="M27" s="4">
        <f t="shared" si="7"/>
        <v>76.628</v>
      </c>
      <c r="N27" s="4">
        <f t="shared" si="7"/>
        <v>76.721999999999994</v>
      </c>
      <c r="O27" s="4">
        <f t="shared" si="7"/>
        <v>76.816000000000003</v>
      </c>
      <c r="P27" s="4">
        <f t="shared" si="7"/>
        <v>76.91</v>
      </c>
      <c r="Q27" s="4">
        <f t="shared" si="7"/>
        <v>77.004000000000005</v>
      </c>
      <c r="R27" s="4">
        <f t="shared" si="7"/>
        <v>77.097999999999999</v>
      </c>
      <c r="S27" s="4">
        <f t="shared" si="7"/>
        <v>77.191999999999993</v>
      </c>
      <c r="T27" s="4">
        <f t="shared" si="7"/>
        <v>77.286000000000001</v>
      </c>
      <c r="U27" s="4">
        <f t="shared" si="7"/>
        <v>77.38</v>
      </c>
      <c r="V27" s="4">
        <f t="shared" si="10"/>
        <v>77.474000000000004</v>
      </c>
      <c r="W27" s="4">
        <f t="shared" si="10"/>
        <v>77.567999999999998</v>
      </c>
      <c r="X27" s="4">
        <f t="shared" si="10"/>
        <v>77.662000000000006</v>
      </c>
      <c r="Y27" s="4">
        <f t="shared" si="10"/>
        <v>77.756</v>
      </c>
      <c r="Z27" s="4">
        <f t="shared" si="10"/>
        <v>77.849999999999994</v>
      </c>
      <c r="AA27" s="4">
        <f t="shared" si="10"/>
        <v>77.944000000000003</v>
      </c>
      <c r="AB27" s="4">
        <f t="shared" si="10"/>
        <v>78.037999999999997</v>
      </c>
      <c r="AC27" s="4">
        <f t="shared" si="10"/>
        <v>78.132000000000005</v>
      </c>
      <c r="AD27" s="4">
        <f t="shared" si="10"/>
        <v>78.225999999999999</v>
      </c>
      <c r="AE27" s="4">
        <f t="shared" si="10"/>
        <v>78.319999999999993</v>
      </c>
      <c r="AF27" s="4">
        <f t="shared" si="10"/>
        <v>78.414000000000001</v>
      </c>
      <c r="AG27" s="4">
        <f t="shared" si="10"/>
        <v>78.507999999999996</v>
      </c>
      <c r="AH27" s="4">
        <f t="shared" si="10"/>
        <v>78.602000000000004</v>
      </c>
      <c r="AI27" s="4">
        <f t="shared" si="10"/>
        <v>78.695999999999998</v>
      </c>
      <c r="AJ27" s="4">
        <f t="shared" si="10"/>
        <v>78.790000000000006</v>
      </c>
      <c r="AK27" s="4">
        <f t="shared" si="10"/>
        <v>78.884</v>
      </c>
      <c r="AL27" s="4">
        <f t="shared" si="10"/>
        <v>78.977999999999994</v>
      </c>
      <c r="AM27" s="4">
        <f t="shared" si="10"/>
        <v>79.072000000000003</v>
      </c>
      <c r="AN27" s="4">
        <f t="shared" si="10"/>
        <v>79.165999999999997</v>
      </c>
      <c r="AO27" s="4">
        <f t="shared" si="10"/>
        <v>79.260000000000005</v>
      </c>
      <c r="AP27" s="4">
        <f t="shared" si="10"/>
        <v>79.353999999999999</v>
      </c>
      <c r="AQ27" s="4">
        <f t="shared" si="10"/>
        <v>79.447999999999993</v>
      </c>
      <c r="AR27" s="4">
        <f t="shared" si="10"/>
        <v>79.542000000000002</v>
      </c>
      <c r="AS27" s="4">
        <f t="shared" si="10"/>
        <v>79.635999999999996</v>
      </c>
      <c r="AT27" s="4">
        <f t="shared" si="10"/>
        <v>79.73</v>
      </c>
      <c r="AU27" s="4">
        <f t="shared" si="10"/>
        <v>79.823999999999998</v>
      </c>
      <c r="AV27" s="4">
        <f t="shared" si="10"/>
        <v>79.918000000000006</v>
      </c>
      <c r="AW27" s="4">
        <f t="shared" si="10"/>
        <v>80.012</v>
      </c>
      <c r="AX27" s="4">
        <f t="shared" si="10"/>
        <v>80.105999999999995</v>
      </c>
      <c r="AY27" s="4">
        <f t="shared" si="10"/>
        <v>80.2</v>
      </c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</row>
    <row r="28" spans="2:91" x14ac:dyDescent="0.45">
      <c r="B28" s="2">
        <v>76</v>
      </c>
      <c r="C28" s="4">
        <f>CalculateHeatIndex($B28,C$2)</f>
        <v>73.488</v>
      </c>
      <c r="D28" s="4">
        <f t="shared" si="2"/>
        <v>73.581999999999994</v>
      </c>
      <c r="E28" s="4">
        <f t="shared" si="2"/>
        <v>73.676000000000002</v>
      </c>
      <c r="F28" s="4">
        <f t="shared" si="7"/>
        <v>73.77</v>
      </c>
      <c r="G28" s="4">
        <f t="shared" si="7"/>
        <v>73.864000000000004</v>
      </c>
      <c r="H28" s="4">
        <f t="shared" si="7"/>
        <v>73.957999999999998</v>
      </c>
      <c r="I28" s="4">
        <f t="shared" si="7"/>
        <v>74.052000000000007</v>
      </c>
      <c r="J28" s="4">
        <f t="shared" si="7"/>
        <v>74.146000000000001</v>
      </c>
      <c r="K28" s="4">
        <f t="shared" si="7"/>
        <v>74.239999999999995</v>
      </c>
      <c r="L28" s="4">
        <f t="shared" si="7"/>
        <v>74.334000000000003</v>
      </c>
      <c r="M28" s="4">
        <f t="shared" si="7"/>
        <v>74.427999999999997</v>
      </c>
      <c r="N28" s="4">
        <f t="shared" si="7"/>
        <v>74.522000000000006</v>
      </c>
      <c r="O28" s="4">
        <f t="shared" si="7"/>
        <v>74.616</v>
      </c>
      <c r="P28" s="4">
        <f t="shared" si="7"/>
        <v>74.709999999999994</v>
      </c>
      <c r="Q28" s="4">
        <f t="shared" si="7"/>
        <v>74.804000000000002</v>
      </c>
      <c r="R28" s="4">
        <f t="shared" si="7"/>
        <v>74.897999999999996</v>
      </c>
      <c r="S28" s="4">
        <f t="shared" si="7"/>
        <v>74.992000000000004</v>
      </c>
      <c r="T28" s="4">
        <f t="shared" si="7"/>
        <v>75.085999999999999</v>
      </c>
      <c r="U28" s="4">
        <f t="shared" si="7"/>
        <v>75.180000000000007</v>
      </c>
      <c r="V28" s="4">
        <f t="shared" si="10"/>
        <v>75.274000000000001</v>
      </c>
      <c r="W28" s="4">
        <f t="shared" si="10"/>
        <v>75.367999999999995</v>
      </c>
      <c r="X28" s="4">
        <f t="shared" si="10"/>
        <v>75.462000000000003</v>
      </c>
      <c r="Y28" s="4">
        <f t="shared" si="10"/>
        <v>75.555999999999997</v>
      </c>
      <c r="Z28" s="4">
        <f t="shared" si="10"/>
        <v>75.650000000000006</v>
      </c>
      <c r="AA28" s="4">
        <f t="shared" si="10"/>
        <v>75.744</v>
      </c>
      <c r="AB28" s="4">
        <f t="shared" si="10"/>
        <v>75.837999999999994</v>
      </c>
      <c r="AC28" s="4">
        <f t="shared" si="10"/>
        <v>75.932000000000002</v>
      </c>
      <c r="AD28" s="4">
        <f t="shared" si="10"/>
        <v>76.025999999999996</v>
      </c>
      <c r="AE28" s="4">
        <f t="shared" si="10"/>
        <v>76.12</v>
      </c>
      <c r="AF28" s="4">
        <f t="shared" si="10"/>
        <v>76.213999999999999</v>
      </c>
      <c r="AG28" s="4">
        <f t="shared" si="10"/>
        <v>76.307999999999993</v>
      </c>
      <c r="AH28" s="4">
        <f t="shared" si="10"/>
        <v>76.402000000000001</v>
      </c>
      <c r="AI28" s="4">
        <f t="shared" si="10"/>
        <v>76.495999999999995</v>
      </c>
      <c r="AJ28" s="4">
        <f t="shared" si="10"/>
        <v>76.59</v>
      </c>
      <c r="AK28" s="4">
        <f t="shared" si="10"/>
        <v>76.683999999999997</v>
      </c>
      <c r="AL28" s="4">
        <f t="shared" si="10"/>
        <v>76.778000000000006</v>
      </c>
      <c r="AM28" s="4">
        <f t="shared" si="10"/>
        <v>76.872</v>
      </c>
      <c r="AN28" s="4">
        <f t="shared" si="10"/>
        <v>76.965999999999994</v>
      </c>
      <c r="AO28" s="4">
        <f t="shared" si="10"/>
        <v>77.06</v>
      </c>
      <c r="AP28" s="4">
        <f t="shared" si="10"/>
        <v>77.153999999999996</v>
      </c>
      <c r="AQ28" s="4">
        <f t="shared" si="10"/>
        <v>77.248000000000005</v>
      </c>
      <c r="AR28" s="4">
        <f t="shared" si="10"/>
        <v>77.341999999999999</v>
      </c>
      <c r="AS28" s="4">
        <f t="shared" si="10"/>
        <v>77.435999999999993</v>
      </c>
      <c r="AT28" s="4">
        <f t="shared" si="10"/>
        <v>77.53</v>
      </c>
      <c r="AU28" s="4">
        <f t="shared" si="10"/>
        <v>77.623999999999995</v>
      </c>
      <c r="AV28" s="4">
        <f t="shared" si="10"/>
        <v>77.718000000000004</v>
      </c>
      <c r="AW28" s="4">
        <f t="shared" si="10"/>
        <v>77.811999999999998</v>
      </c>
      <c r="AX28" s="4">
        <f t="shared" si="10"/>
        <v>77.906000000000006</v>
      </c>
      <c r="AY28" s="4">
        <f t="shared" si="10"/>
        <v>78</v>
      </c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</row>
    <row r="29" spans="2:91" x14ac:dyDescent="0.45"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</row>
    <row r="30" spans="2:91" x14ac:dyDescent="0.45"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</row>
  </sheetData>
  <conditionalFormatting sqref="D3:AY3">
    <cfRule type="cellIs" dxfId="22" priority="18" operator="greaterThanOrEqual">
      <formula>130</formula>
    </cfRule>
    <cfRule type="cellIs" dxfId="21" priority="19" operator="between">
      <formula>105</formula>
      <formula>130</formula>
    </cfRule>
    <cfRule type="cellIs" dxfId="20" priority="20" operator="between">
      <formula>90</formula>
      <formula>105</formula>
    </cfRule>
    <cfRule type="cellIs" dxfId="19" priority="21" operator="between">
      <formula>80</formula>
      <formula>90</formula>
    </cfRule>
    <cfRule type="cellIs" dxfId="18" priority="22" operator="lessThan">
      <formula>80</formula>
    </cfRule>
  </conditionalFormatting>
  <conditionalFormatting sqref="D4:AY28">
    <cfRule type="cellIs" dxfId="17" priority="13" operator="greaterThanOrEqual">
      <formula>130</formula>
    </cfRule>
    <cfRule type="cellIs" dxfId="16" priority="14" operator="between">
      <formula>105</formula>
      <formula>130</formula>
    </cfRule>
    <cfRule type="cellIs" dxfId="15" priority="15" operator="between">
      <formula>90</formula>
      <formula>105</formula>
    </cfRule>
    <cfRule type="cellIs" dxfId="14" priority="16" operator="between">
      <formula>80</formula>
      <formula>90</formula>
    </cfRule>
    <cfRule type="cellIs" dxfId="13" priority="17" operator="lessThan">
      <formula>80</formula>
    </cfRule>
  </conditionalFormatting>
  <conditionalFormatting sqref="D3:AY28">
    <cfRule type="expression" dxfId="12" priority="12" stopIfTrue="1">
      <formula>ISBLANK(D3)</formula>
    </cfRule>
  </conditionalFormatting>
  <conditionalFormatting sqref="C3">
    <cfRule type="cellIs" dxfId="11" priority="7" operator="greaterThanOrEqual">
      <formula>130</formula>
    </cfRule>
    <cfRule type="cellIs" dxfId="10" priority="8" operator="between">
      <formula>105</formula>
      <formula>130</formula>
    </cfRule>
    <cfRule type="cellIs" dxfId="9" priority="9" operator="between">
      <formula>90</formula>
      <formula>105</formula>
    </cfRule>
    <cfRule type="cellIs" dxfId="8" priority="10" operator="between">
      <formula>80</formula>
      <formula>90</formula>
    </cfRule>
    <cfRule type="cellIs" dxfId="7" priority="11" operator="lessThan">
      <formula>80</formula>
    </cfRule>
  </conditionalFormatting>
  <conditionalFormatting sqref="C4:C28">
    <cfRule type="cellIs" dxfId="6" priority="2" operator="greaterThanOrEqual">
      <formula>130</formula>
    </cfRule>
    <cfRule type="cellIs" dxfId="5" priority="3" operator="between">
      <formula>105</formula>
      <formula>130</formula>
    </cfRule>
    <cfRule type="cellIs" dxfId="4" priority="4" operator="between">
      <formula>90</formula>
      <formula>105</formula>
    </cfRule>
    <cfRule type="cellIs" dxfId="3" priority="5" operator="between">
      <formula>80</formula>
      <formula>90</formula>
    </cfRule>
    <cfRule type="cellIs" dxfId="2" priority="6" operator="lessThan">
      <formula>80</formula>
    </cfRule>
  </conditionalFormatting>
  <conditionalFormatting sqref="C3:C28">
    <cfRule type="expression" dxfId="1" priority="1" stopIfTrue="1">
      <formula>ISBLANK(C3)</formula>
    </cfRule>
  </conditionalFormatting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7AC408-DCBE-463F-98D2-4B0B65B78849}">
  <sheetPr codeName="Sheet2"/>
  <dimension ref="B3:D8"/>
  <sheetViews>
    <sheetView workbookViewId="0">
      <selection activeCell="D8" sqref="D8"/>
    </sheetView>
  </sheetViews>
  <sheetFormatPr defaultRowHeight="14.25" x14ac:dyDescent="0.45"/>
  <cols>
    <col min="2" max="2" width="11.73046875" style="5" customWidth="1"/>
    <col min="3" max="3" width="28.6640625" style="5" customWidth="1"/>
    <col min="4" max="4" width="9.06640625" style="5"/>
  </cols>
  <sheetData>
    <row r="3" spans="2:4" x14ac:dyDescent="0.45">
      <c r="B3" s="3" t="s">
        <v>0</v>
      </c>
      <c r="C3" s="3" t="s">
        <v>6</v>
      </c>
      <c r="D3" s="3" t="s">
        <v>7</v>
      </c>
    </row>
    <row r="4" spans="2:4" x14ac:dyDescent="0.45">
      <c r="B4" s="5" t="s">
        <v>1</v>
      </c>
      <c r="C4" s="5" t="str">
        <f ca="1">_xlfn.FORMULATEXT(D4)</f>
        <v>=CalculateHeatIndex(75,0)</v>
      </c>
      <c r="D4" s="5" t="e">
        <f>CalculateHeatIndex(75,0)</f>
        <v>#VALUE!</v>
      </c>
    </row>
    <row r="5" spans="2:4" x14ac:dyDescent="0.45">
      <c r="B5" s="5" t="s">
        <v>2</v>
      </c>
      <c r="C5" s="5" t="str">
        <f ca="1">_xlfn.FORMULATEXT(D5)</f>
        <v>=CalculateHeatIndex(127,0)</v>
      </c>
      <c r="D5" s="5" t="e">
        <f>CalculateHeatIndex(127,0)</f>
        <v>#VALUE!</v>
      </c>
    </row>
    <row r="6" spans="2:4" x14ac:dyDescent="0.45">
      <c r="B6" s="5" t="s">
        <v>3</v>
      </c>
      <c r="C6" s="5" t="str">
        <f ca="1">_xlfn.FORMULATEXT(D6)</f>
        <v>=CalculateHeatIndex(76, -1)</v>
      </c>
      <c r="D6" s="5" t="e">
        <f>CalculateHeatIndex(76, -1)</f>
        <v>#VALUE!</v>
      </c>
    </row>
    <row r="7" spans="2:4" x14ac:dyDescent="0.45">
      <c r="B7" s="5" t="s">
        <v>4</v>
      </c>
      <c r="C7" s="5" t="str">
        <f ca="1">_xlfn.FORMULATEXT(D7)</f>
        <v>=CalculateHeatIndex(80,101)</v>
      </c>
      <c r="D7" s="5" t="e">
        <f>CalculateHeatIndex(80,101)</f>
        <v>#VALUE!</v>
      </c>
    </row>
    <row r="8" spans="2:4" x14ac:dyDescent="0.45">
      <c r="B8" s="5" t="s">
        <v>5</v>
      </c>
      <c r="C8" s="5" t="str">
        <f ca="1">_xlfn.FORMULATEXT(D8)</f>
        <v>=CalculateHeatIndex(80,40)</v>
      </c>
      <c r="D8" s="5">
        <f>CalculateHeatIndex(80,40)</f>
        <v>79.58</v>
      </c>
    </row>
  </sheetData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CD3A2B-4E41-4151-8E04-034AB23A734A}">
  <sheetPr codeName="Sheet3"/>
  <dimension ref="A1:AX31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H6" sqref="H6"/>
    </sheetView>
  </sheetViews>
  <sheetFormatPr defaultRowHeight="14.25" x14ac:dyDescent="0.45"/>
  <cols>
    <col min="1" max="16384" width="9.06640625" style="1"/>
  </cols>
  <sheetData>
    <row r="1" spans="1:50" x14ac:dyDescent="0.45">
      <c r="A1" s="8" t="s">
        <v>9</v>
      </c>
      <c r="B1" s="6" t="b">
        <f>AND(B4:AX29)</f>
        <v>1</v>
      </c>
    </row>
    <row r="2" spans="1:50" x14ac:dyDescent="0.45">
      <c r="A2"/>
    </row>
    <row r="3" spans="1:50" x14ac:dyDescent="0.45">
      <c r="A3" t="s">
        <v>8</v>
      </c>
      <c r="B3">
        <v>4</v>
      </c>
      <c r="C3">
        <v>6</v>
      </c>
      <c r="D3">
        <v>8</v>
      </c>
      <c r="E3">
        <v>10</v>
      </c>
      <c r="F3">
        <v>12</v>
      </c>
      <c r="G3">
        <v>14</v>
      </c>
      <c r="H3">
        <v>16</v>
      </c>
      <c r="I3">
        <v>18</v>
      </c>
      <c r="J3">
        <v>20</v>
      </c>
      <c r="K3">
        <v>22</v>
      </c>
      <c r="L3">
        <v>24</v>
      </c>
      <c r="M3">
        <v>26</v>
      </c>
      <c r="N3">
        <v>28</v>
      </c>
      <c r="O3">
        <v>30</v>
      </c>
      <c r="P3">
        <v>32</v>
      </c>
      <c r="Q3">
        <v>34</v>
      </c>
      <c r="R3">
        <v>36</v>
      </c>
      <c r="S3">
        <v>38</v>
      </c>
      <c r="T3">
        <v>40</v>
      </c>
      <c r="U3">
        <v>42</v>
      </c>
      <c r="V3">
        <v>44</v>
      </c>
      <c r="W3">
        <v>46</v>
      </c>
      <c r="X3">
        <v>48</v>
      </c>
      <c r="Y3">
        <v>50</v>
      </c>
      <c r="Z3">
        <v>52</v>
      </c>
      <c r="AA3">
        <v>54</v>
      </c>
      <c r="AB3">
        <v>56</v>
      </c>
      <c r="AC3">
        <v>58</v>
      </c>
      <c r="AD3">
        <v>60</v>
      </c>
      <c r="AE3">
        <v>62</v>
      </c>
      <c r="AF3">
        <v>64</v>
      </c>
      <c r="AG3">
        <v>66</v>
      </c>
      <c r="AH3">
        <v>68</v>
      </c>
      <c r="AI3">
        <v>70</v>
      </c>
      <c r="AJ3">
        <v>72</v>
      </c>
      <c r="AK3">
        <v>74</v>
      </c>
      <c r="AL3">
        <v>76</v>
      </c>
      <c r="AM3">
        <v>78</v>
      </c>
      <c r="AN3">
        <v>80</v>
      </c>
      <c r="AO3">
        <v>82</v>
      </c>
      <c r="AP3">
        <v>84</v>
      </c>
      <c r="AQ3">
        <v>86</v>
      </c>
      <c r="AR3">
        <v>88</v>
      </c>
      <c r="AS3">
        <v>90</v>
      </c>
      <c r="AT3">
        <v>92</v>
      </c>
      <c r="AU3">
        <v>94</v>
      </c>
      <c r="AV3">
        <v>96</v>
      </c>
      <c r="AW3">
        <v>98</v>
      </c>
      <c r="AX3">
        <v>100</v>
      </c>
    </row>
    <row r="4" spans="1:50" x14ac:dyDescent="0.45">
      <c r="A4" s="1">
        <v>126</v>
      </c>
      <c r="B4" s="1" t="b">
        <f>IF(NOT(ISBLANK('Heat Index Table'!C3)),ROUND('CSV-Query'!B3,0)=ROUND('Heat Index Table'!C3,0),ISBLANK('CSV-Query'!B3))</f>
        <v>1</v>
      </c>
      <c r="C4" s="1" t="b">
        <f>IF(NOT(ISBLANK('Heat Index Table'!D3)),ROUND('CSV-Query'!C3,0)=ROUND('Heat Index Table'!D3,0),ISBLANK('CSV-Query'!C3))</f>
        <v>1</v>
      </c>
      <c r="D4" s="1" t="b">
        <f>IF(NOT(ISBLANK('Heat Index Table'!E3)),ROUND('CSV-Query'!D3,0)=ROUND('Heat Index Table'!E3,0),ISBLANK('CSV-Query'!D3))</f>
        <v>1</v>
      </c>
      <c r="E4" s="1" t="b">
        <f>IF(NOT(ISBLANK('Heat Index Table'!F3)),ROUND('CSV-Query'!E3,0)=ROUND('Heat Index Table'!F3,0),ISBLANK('CSV-Query'!E3))</f>
        <v>1</v>
      </c>
      <c r="F4" s="1" t="b">
        <f>IF(NOT(ISBLANK('Heat Index Table'!G3)),ROUND('CSV-Query'!F3,0)=ROUND('Heat Index Table'!G3,0),ISBLANK('CSV-Query'!F3))</f>
        <v>1</v>
      </c>
      <c r="G4" s="1" t="b">
        <f>IF(NOT(ISBLANK('Heat Index Table'!H3)),ROUND('CSV-Query'!G3,0)=ROUND('Heat Index Table'!H3,0),ISBLANK('CSV-Query'!G3))</f>
        <v>1</v>
      </c>
      <c r="H4" s="1" t="b">
        <f>IF(NOT(ISBLANK('Heat Index Table'!I3)),ROUND('CSV-Query'!H3,0)=ROUND('Heat Index Table'!I3,0),ISBLANK('CSV-Query'!H3))</f>
        <v>1</v>
      </c>
      <c r="I4" s="1" t="b">
        <f>IF(NOT(ISBLANK('Heat Index Table'!J3)),ROUND('CSV-Query'!I3,0)=ROUND('Heat Index Table'!J3,0),ISBLANK('CSV-Query'!I3))</f>
        <v>1</v>
      </c>
      <c r="J4" s="1" t="b">
        <f>IF(NOT(ISBLANK('Heat Index Table'!K3)),ROUND('CSV-Query'!J3,0)=ROUND('Heat Index Table'!K3,0),ISBLANK('CSV-Query'!J3))</f>
        <v>1</v>
      </c>
      <c r="K4" s="1" t="b">
        <f>IF(NOT(ISBLANK('Heat Index Table'!L3)),ROUND('CSV-Query'!K3,0)=ROUND('Heat Index Table'!L3,0),ISBLANK('CSV-Query'!K3))</f>
        <v>1</v>
      </c>
      <c r="L4" s="1" t="b">
        <f>IF(NOT(ISBLANK('Heat Index Table'!M3)),ROUND('CSV-Query'!L3,0)=ROUND('Heat Index Table'!M3,0),ISBLANK('CSV-Query'!L3))</f>
        <v>1</v>
      </c>
      <c r="M4" s="1" t="b">
        <f>IF(NOT(ISBLANK('Heat Index Table'!N3)),ROUND('CSV-Query'!M3,0)=ROUND('Heat Index Table'!N3,0),ISBLANK('CSV-Query'!M3))</f>
        <v>1</v>
      </c>
      <c r="N4" s="1" t="b">
        <f>IF(NOT(ISBLANK('Heat Index Table'!O3)),ROUND('CSV-Query'!N3,0)=ROUND('Heat Index Table'!O3,0),ISBLANK('CSV-Query'!N3))</f>
        <v>1</v>
      </c>
      <c r="O4" s="1" t="b">
        <f>IF(NOT(ISBLANK('Heat Index Table'!P3)),ROUND('CSV-Query'!O3,0)=ROUND('Heat Index Table'!P3,0),ISBLANK('CSV-Query'!O3))</f>
        <v>1</v>
      </c>
      <c r="P4" s="1" t="b">
        <f>IF(NOT(ISBLANK('Heat Index Table'!Q3)),ROUND('CSV-Query'!P3,0)=ROUND('Heat Index Table'!Q3,0),ISBLANK('CSV-Query'!P3))</f>
        <v>1</v>
      </c>
      <c r="Q4" s="1" t="b">
        <f>IF(NOT(ISBLANK('Heat Index Table'!R3)),ROUND('CSV-Query'!Q3,0)=ROUND('Heat Index Table'!R3,0),ISBLANK('CSV-Query'!Q3))</f>
        <v>1</v>
      </c>
      <c r="R4" s="1" t="b">
        <f>IF(NOT(ISBLANK('Heat Index Table'!S3)),ROUND('CSV-Query'!R3,0)=ROUND('Heat Index Table'!S3,0),ISBLANK('CSV-Query'!R3))</f>
        <v>1</v>
      </c>
      <c r="S4" s="1" t="b">
        <f>IF(NOT(ISBLANK('Heat Index Table'!T3)),ROUND('CSV-Query'!S3,0)=ROUND('Heat Index Table'!T3,0),ISBLANK('CSV-Query'!S3))</f>
        <v>1</v>
      </c>
      <c r="T4" s="1" t="b">
        <f>IF(NOT(ISBLANK('Heat Index Table'!U3)),ROUND('CSV-Query'!T3,0)=ROUND('Heat Index Table'!U3,0),ISBLANK('CSV-Query'!T3))</f>
        <v>1</v>
      </c>
      <c r="U4" s="1" t="b">
        <f>IF(NOT(ISBLANK('Heat Index Table'!V3)),ROUND('CSV-Query'!U3,0)=ROUND('Heat Index Table'!V3,0),ISBLANK('CSV-Query'!U3))</f>
        <v>1</v>
      </c>
      <c r="V4" s="1" t="b">
        <f>IF(NOT(ISBLANK('Heat Index Table'!W3)),ROUND('CSV-Query'!V3,0)=ROUND('Heat Index Table'!W3,0),ISBLANK('CSV-Query'!V3))</f>
        <v>1</v>
      </c>
      <c r="W4" s="1" t="b">
        <f>IF(NOT(ISBLANK('Heat Index Table'!X3)),ROUND('CSV-Query'!W3,0)=ROUND('Heat Index Table'!X3,0),ISBLANK('CSV-Query'!W3))</f>
        <v>1</v>
      </c>
      <c r="X4" s="1" t="b">
        <f>IF(NOT(ISBLANK('Heat Index Table'!Y3)),ROUND('CSV-Query'!X3,0)=ROUND('Heat Index Table'!Y3,0),ISBLANK('CSV-Query'!X3))</f>
        <v>1</v>
      </c>
      <c r="Y4" s="1" t="b">
        <f>IF(NOT(ISBLANK('Heat Index Table'!Z3)),ROUND('CSV-Query'!Y3,0)=ROUND('Heat Index Table'!Z3,0),ISBLANK('CSV-Query'!Y3))</f>
        <v>1</v>
      </c>
      <c r="Z4" s="1" t="b">
        <f>IF(NOT(ISBLANK('Heat Index Table'!AA3)),ROUND('CSV-Query'!Z3,0)=ROUND('Heat Index Table'!AA3,0),ISBLANK('CSV-Query'!Z3))</f>
        <v>1</v>
      </c>
      <c r="AA4" s="1" t="b">
        <f>IF(NOT(ISBLANK('Heat Index Table'!AB3)),ROUND('CSV-Query'!AA3,0)=ROUND('Heat Index Table'!AB3,0),ISBLANK('CSV-Query'!AA3))</f>
        <v>1</v>
      </c>
      <c r="AB4" s="1" t="b">
        <f>IF(NOT(ISBLANK('Heat Index Table'!AC3)),ROUND('CSV-Query'!AB3,0)=ROUND('Heat Index Table'!AC3,0),ISBLANK('CSV-Query'!AB3))</f>
        <v>1</v>
      </c>
      <c r="AC4" s="1" t="b">
        <f>IF(NOT(ISBLANK('Heat Index Table'!AD3)),ROUND('CSV-Query'!AC3,0)=ROUND('Heat Index Table'!AD3,0),ISBLANK('CSV-Query'!AC3))</f>
        <v>1</v>
      </c>
      <c r="AD4" s="1" t="b">
        <f>IF(NOT(ISBLANK('Heat Index Table'!AE3)),ROUND('CSV-Query'!AD3,0)=ROUND('Heat Index Table'!AE3,0),ISBLANK('CSV-Query'!AD3))</f>
        <v>1</v>
      </c>
      <c r="AE4" s="1" t="b">
        <f>IF(NOT(ISBLANK('Heat Index Table'!AF3)),ROUND('CSV-Query'!AE3,0)=ROUND('Heat Index Table'!AF3,0),ISBLANK('CSV-Query'!AE3))</f>
        <v>1</v>
      </c>
      <c r="AF4" s="1" t="b">
        <f>IF(NOT(ISBLANK('Heat Index Table'!AG3)),ROUND('CSV-Query'!AF3,0)=ROUND('Heat Index Table'!AG3,0),ISBLANK('CSV-Query'!AF3))</f>
        <v>1</v>
      </c>
      <c r="AG4" s="1" t="b">
        <f>IF(NOT(ISBLANK('Heat Index Table'!AH3)),ROUND('CSV-Query'!AG3,0)=ROUND('Heat Index Table'!AH3,0),ISBLANK('CSV-Query'!AG3))</f>
        <v>1</v>
      </c>
      <c r="AH4" s="1" t="b">
        <f>IF(NOT(ISBLANK('Heat Index Table'!AI3)),ROUND('CSV-Query'!AH3,0)=ROUND('Heat Index Table'!AI3,0),ISBLANK('CSV-Query'!AH3))</f>
        <v>1</v>
      </c>
      <c r="AI4" s="1" t="b">
        <f>IF(NOT(ISBLANK('Heat Index Table'!AJ3)),ROUND('CSV-Query'!AI3,0)=ROUND('Heat Index Table'!AJ3,0),ISBLANK('CSV-Query'!AI3))</f>
        <v>1</v>
      </c>
      <c r="AJ4" s="1" t="b">
        <f>IF(NOT(ISBLANK('Heat Index Table'!AK3)),ROUND('CSV-Query'!AJ3,0)=ROUND('Heat Index Table'!AK3,0),ISBLANK('CSV-Query'!AJ3))</f>
        <v>1</v>
      </c>
      <c r="AK4" s="1" t="b">
        <f>IF(NOT(ISBLANK('Heat Index Table'!AL3)),ROUND('CSV-Query'!AK3,0)=ROUND('Heat Index Table'!AL3,0),ISBLANK('CSV-Query'!AK3))</f>
        <v>1</v>
      </c>
      <c r="AL4" s="1" t="b">
        <f>IF(NOT(ISBLANK('Heat Index Table'!AM3)),ROUND('CSV-Query'!AL3,0)=ROUND('Heat Index Table'!AM3,0),ISBLANK('CSV-Query'!AL3))</f>
        <v>1</v>
      </c>
      <c r="AM4" s="1" t="b">
        <f>IF(NOT(ISBLANK('Heat Index Table'!AN3)),ROUND('CSV-Query'!AM3,0)=ROUND('Heat Index Table'!AN3,0),ISBLANK('CSV-Query'!AM3))</f>
        <v>1</v>
      </c>
      <c r="AN4" s="1" t="b">
        <f>IF(NOT(ISBLANK('Heat Index Table'!AO3)),ROUND('CSV-Query'!AN3,0)=ROUND('Heat Index Table'!AO3,0),ISBLANK('CSV-Query'!AN3))</f>
        <v>1</v>
      </c>
      <c r="AO4" s="1" t="b">
        <f>IF(NOT(ISBLANK('Heat Index Table'!AP3)),ROUND('CSV-Query'!AO3,0)=ROUND('Heat Index Table'!AP3,0),ISBLANK('CSV-Query'!AO3))</f>
        <v>1</v>
      </c>
      <c r="AP4" s="1" t="b">
        <f>IF(NOT(ISBLANK('Heat Index Table'!AQ3)),ROUND('CSV-Query'!AP3,0)=ROUND('Heat Index Table'!AQ3,0),ISBLANK('CSV-Query'!AP3))</f>
        <v>1</v>
      </c>
      <c r="AQ4" s="1" t="b">
        <f>IF(NOT(ISBLANK('Heat Index Table'!AR3)),ROUND('CSV-Query'!AQ3,0)=ROUND('Heat Index Table'!AR3,0),ISBLANK('CSV-Query'!AQ3))</f>
        <v>1</v>
      </c>
      <c r="AR4" s="1" t="b">
        <f>IF(NOT(ISBLANK('Heat Index Table'!AS3)),ROUND('CSV-Query'!AR3,0)=ROUND('Heat Index Table'!AS3,0),ISBLANK('CSV-Query'!AR3))</f>
        <v>1</v>
      </c>
      <c r="AS4" s="1" t="b">
        <f>IF(NOT(ISBLANK('Heat Index Table'!AT3)),ROUND('CSV-Query'!AS3,0)=ROUND('Heat Index Table'!AT3,0),ISBLANK('CSV-Query'!AS3))</f>
        <v>1</v>
      </c>
      <c r="AT4" s="1" t="b">
        <f>IF(NOT(ISBLANK('Heat Index Table'!AU3)),ROUND('CSV-Query'!AT3,0)=ROUND('Heat Index Table'!AU3,0),ISBLANK('CSV-Query'!AT3))</f>
        <v>1</v>
      </c>
      <c r="AU4" s="1" t="b">
        <f>IF(NOT(ISBLANK('Heat Index Table'!AV3)),ROUND('CSV-Query'!AU3,0)=ROUND('Heat Index Table'!AV3,0),ISBLANK('CSV-Query'!AU3))</f>
        <v>1</v>
      </c>
      <c r="AV4" s="1" t="b">
        <f>IF(NOT(ISBLANK('Heat Index Table'!AW3)),ROUND('CSV-Query'!AV3,0)=ROUND('Heat Index Table'!AW3,0),ISBLANK('CSV-Query'!AV3))</f>
        <v>1</v>
      </c>
      <c r="AW4" s="1" t="b">
        <f>IF(NOT(ISBLANK('Heat Index Table'!AX3)),ROUND('CSV-Query'!AW3,0)=ROUND('Heat Index Table'!AX3,0),ISBLANK('CSV-Query'!AW3))</f>
        <v>1</v>
      </c>
      <c r="AX4" s="1" t="b">
        <f>IF(NOT(ISBLANK('Heat Index Table'!AY3)),ROUND('CSV-Query'!AX3,0)=ROUND('Heat Index Table'!AY3,0),ISBLANK('CSV-Query'!AX3))</f>
        <v>1</v>
      </c>
    </row>
    <row r="5" spans="1:50" x14ac:dyDescent="0.45">
      <c r="A5" s="1">
        <v>124</v>
      </c>
      <c r="B5" s="1" t="b">
        <f>IF(NOT(ISBLANK('Heat Index Table'!C4)),ROUND('CSV-Query'!B4,0)=ROUND('Heat Index Table'!C4,0),ISBLANK('CSV-Query'!B4))</f>
        <v>1</v>
      </c>
      <c r="C5" s="1" t="b">
        <f>IF(NOT(ISBLANK('Heat Index Table'!D4)),ROUND('CSV-Query'!C4,0)=ROUND('Heat Index Table'!D4,0),ISBLANK('CSV-Query'!C4))</f>
        <v>1</v>
      </c>
      <c r="D5" s="1" t="b">
        <f>IF(NOT(ISBLANK('Heat Index Table'!E4)),ROUND('CSV-Query'!D4,0)=ROUND('Heat Index Table'!E4,0),ISBLANK('CSV-Query'!D4))</f>
        <v>1</v>
      </c>
      <c r="E5" s="1" t="b">
        <f>IF(NOT(ISBLANK('Heat Index Table'!F4)),ROUND('CSV-Query'!E4,0)=ROUND('Heat Index Table'!F4,0),ISBLANK('CSV-Query'!E4))</f>
        <v>1</v>
      </c>
      <c r="F5" s="1" t="b">
        <f>IF(NOT(ISBLANK('Heat Index Table'!G4)),ROUND('CSV-Query'!F4,0)=ROUND('Heat Index Table'!G4,0),ISBLANK('CSV-Query'!F4))</f>
        <v>1</v>
      </c>
      <c r="G5" s="1" t="b">
        <f>IF(NOT(ISBLANK('Heat Index Table'!H4)),ROUND('CSV-Query'!G4,0)=ROUND('Heat Index Table'!H4,0),ISBLANK('CSV-Query'!G4))</f>
        <v>1</v>
      </c>
      <c r="H5" s="1" t="b">
        <f>IF(NOT(ISBLANK('Heat Index Table'!I4)),ROUND('CSV-Query'!H4,0)=ROUND('Heat Index Table'!I4,0),ISBLANK('CSV-Query'!H4))</f>
        <v>1</v>
      </c>
      <c r="I5" s="1" t="b">
        <f>IF(NOT(ISBLANK('Heat Index Table'!J4)),ROUND('CSV-Query'!I4,0)=ROUND('Heat Index Table'!J4,0),ISBLANK('CSV-Query'!I4))</f>
        <v>1</v>
      </c>
      <c r="J5" s="1" t="b">
        <f>IF(NOT(ISBLANK('Heat Index Table'!K4)),ROUND('CSV-Query'!J4,0)=ROUND('Heat Index Table'!K4,0),ISBLANK('CSV-Query'!J4))</f>
        <v>1</v>
      </c>
      <c r="K5" s="1" t="b">
        <f>IF(NOT(ISBLANK('Heat Index Table'!L4)),ROUND('CSV-Query'!K4,0)=ROUND('Heat Index Table'!L4,0),ISBLANK('CSV-Query'!K4))</f>
        <v>1</v>
      </c>
      <c r="L5" s="1" t="b">
        <f>IF(NOT(ISBLANK('Heat Index Table'!M4)),ROUND('CSV-Query'!L4,0)=ROUND('Heat Index Table'!M4,0),ISBLANK('CSV-Query'!L4))</f>
        <v>1</v>
      </c>
      <c r="M5" s="1" t="b">
        <f>IF(NOT(ISBLANK('Heat Index Table'!N4)),ROUND('CSV-Query'!M4,0)=ROUND('Heat Index Table'!N4,0),ISBLANK('CSV-Query'!M4))</f>
        <v>1</v>
      </c>
      <c r="N5" s="1" t="b">
        <f>IF(NOT(ISBLANK('Heat Index Table'!O4)),ROUND('CSV-Query'!N4,0)=ROUND('Heat Index Table'!O4,0),ISBLANK('CSV-Query'!N4))</f>
        <v>1</v>
      </c>
      <c r="O5" s="1" t="b">
        <f>IF(NOT(ISBLANK('Heat Index Table'!P4)),ROUND('CSV-Query'!O4,0)=ROUND('Heat Index Table'!P4,0),ISBLANK('CSV-Query'!O4))</f>
        <v>1</v>
      </c>
      <c r="P5" s="1" t="b">
        <f>IF(NOT(ISBLANK('Heat Index Table'!Q4)),ROUND('CSV-Query'!P4,0)=ROUND('Heat Index Table'!Q4,0),ISBLANK('CSV-Query'!P4))</f>
        <v>1</v>
      </c>
      <c r="Q5" s="1" t="b">
        <f>IF(NOT(ISBLANK('Heat Index Table'!R4)),ROUND('CSV-Query'!Q4,0)=ROUND('Heat Index Table'!R4,0),ISBLANK('CSV-Query'!Q4))</f>
        <v>1</v>
      </c>
      <c r="R5" s="1" t="b">
        <f>IF(NOT(ISBLANK('Heat Index Table'!S4)),ROUND('CSV-Query'!R4,0)=ROUND('Heat Index Table'!S4,0),ISBLANK('CSV-Query'!R4))</f>
        <v>1</v>
      </c>
      <c r="S5" s="1" t="b">
        <f>IF(NOT(ISBLANK('Heat Index Table'!T4)),ROUND('CSV-Query'!S4,0)=ROUND('Heat Index Table'!T4,0),ISBLANK('CSV-Query'!S4))</f>
        <v>1</v>
      </c>
      <c r="T5" s="1" t="b">
        <f>IF(NOT(ISBLANK('Heat Index Table'!U4)),ROUND('CSV-Query'!T4,0)=ROUND('Heat Index Table'!U4,0),ISBLANK('CSV-Query'!T4))</f>
        <v>1</v>
      </c>
      <c r="U5" s="1" t="b">
        <f>IF(NOT(ISBLANK('Heat Index Table'!V4)),ROUND('CSV-Query'!U4,0)=ROUND('Heat Index Table'!V4,0),ISBLANK('CSV-Query'!U4))</f>
        <v>1</v>
      </c>
      <c r="V5" s="1" t="b">
        <f>IF(NOT(ISBLANK('Heat Index Table'!W4)),ROUND('CSV-Query'!V4,0)=ROUND('Heat Index Table'!W4,0),ISBLANK('CSV-Query'!V4))</f>
        <v>1</v>
      </c>
      <c r="W5" s="1" t="b">
        <f>IF(NOT(ISBLANK('Heat Index Table'!X4)),ROUND('CSV-Query'!W4,0)=ROUND('Heat Index Table'!X4,0),ISBLANK('CSV-Query'!W4))</f>
        <v>1</v>
      </c>
      <c r="X5" s="1" t="b">
        <f>IF(NOT(ISBLANK('Heat Index Table'!Y4)),ROUND('CSV-Query'!X4,0)=ROUND('Heat Index Table'!Y4,0),ISBLANK('CSV-Query'!X4))</f>
        <v>1</v>
      </c>
      <c r="Y5" s="1" t="b">
        <f>IF(NOT(ISBLANK('Heat Index Table'!Z4)),ROUND('CSV-Query'!Y4,0)=ROUND('Heat Index Table'!Z4,0),ISBLANK('CSV-Query'!Y4))</f>
        <v>1</v>
      </c>
      <c r="Z5" s="1" t="b">
        <f>IF(NOT(ISBLANK('Heat Index Table'!AA4)),ROUND('CSV-Query'!Z4,0)=ROUND('Heat Index Table'!AA4,0),ISBLANK('CSV-Query'!Z4))</f>
        <v>1</v>
      </c>
      <c r="AA5" s="1" t="b">
        <f>IF(NOT(ISBLANK('Heat Index Table'!AB4)),ROUND('CSV-Query'!AA4,0)=ROUND('Heat Index Table'!AB4,0),ISBLANK('CSV-Query'!AA4))</f>
        <v>1</v>
      </c>
      <c r="AB5" s="1" t="b">
        <f>IF(NOT(ISBLANK('Heat Index Table'!AC4)),ROUND('CSV-Query'!AB4,0)=ROUND('Heat Index Table'!AC4,0),ISBLANK('CSV-Query'!AB4))</f>
        <v>1</v>
      </c>
      <c r="AC5" s="1" t="b">
        <f>IF(NOT(ISBLANK('Heat Index Table'!AD4)),ROUND('CSV-Query'!AC4,0)=ROUND('Heat Index Table'!AD4,0),ISBLANK('CSV-Query'!AC4))</f>
        <v>1</v>
      </c>
      <c r="AD5" s="1" t="b">
        <f>IF(NOT(ISBLANK('Heat Index Table'!AE4)),ROUND('CSV-Query'!AD4,0)=ROUND('Heat Index Table'!AE4,0),ISBLANK('CSV-Query'!AD4))</f>
        <v>1</v>
      </c>
      <c r="AE5" s="1" t="b">
        <f>IF(NOT(ISBLANK('Heat Index Table'!AF4)),ROUND('CSV-Query'!AE4,0)=ROUND('Heat Index Table'!AF4,0),ISBLANK('CSV-Query'!AE4))</f>
        <v>1</v>
      </c>
      <c r="AF5" s="1" t="b">
        <f>IF(NOT(ISBLANK('Heat Index Table'!AG4)),ROUND('CSV-Query'!AF4,0)=ROUND('Heat Index Table'!AG4,0),ISBLANK('CSV-Query'!AF4))</f>
        <v>1</v>
      </c>
      <c r="AG5" s="1" t="b">
        <f>IF(NOT(ISBLANK('Heat Index Table'!AH4)),ROUND('CSV-Query'!AG4,0)=ROUND('Heat Index Table'!AH4,0),ISBLANK('CSV-Query'!AG4))</f>
        <v>1</v>
      </c>
      <c r="AH5" s="1" t="b">
        <f>IF(NOT(ISBLANK('Heat Index Table'!AI4)),ROUND('CSV-Query'!AH4,0)=ROUND('Heat Index Table'!AI4,0),ISBLANK('CSV-Query'!AH4))</f>
        <v>1</v>
      </c>
      <c r="AI5" s="1" t="b">
        <f>IF(NOT(ISBLANK('Heat Index Table'!AJ4)),ROUND('CSV-Query'!AI4,0)=ROUND('Heat Index Table'!AJ4,0),ISBLANK('CSV-Query'!AI4))</f>
        <v>1</v>
      </c>
      <c r="AJ5" s="1" t="b">
        <f>IF(NOT(ISBLANK('Heat Index Table'!AK4)),ROUND('CSV-Query'!AJ4,0)=ROUND('Heat Index Table'!AK4,0),ISBLANK('CSV-Query'!AJ4))</f>
        <v>1</v>
      </c>
      <c r="AK5" s="1" t="b">
        <f>IF(NOT(ISBLANK('Heat Index Table'!AL4)),ROUND('CSV-Query'!AK4,0)=ROUND('Heat Index Table'!AL4,0),ISBLANK('CSV-Query'!AK4))</f>
        <v>1</v>
      </c>
      <c r="AL5" s="1" t="b">
        <f>IF(NOT(ISBLANK('Heat Index Table'!AM4)),ROUND('CSV-Query'!AL4,0)=ROUND('Heat Index Table'!AM4,0),ISBLANK('CSV-Query'!AL4))</f>
        <v>1</v>
      </c>
      <c r="AM5" s="1" t="b">
        <f>IF(NOT(ISBLANK('Heat Index Table'!AN4)),ROUND('CSV-Query'!AM4,0)=ROUND('Heat Index Table'!AN4,0),ISBLANK('CSV-Query'!AM4))</f>
        <v>1</v>
      </c>
      <c r="AN5" s="1" t="b">
        <f>IF(NOT(ISBLANK('Heat Index Table'!AO4)),ROUND('CSV-Query'!AN4,0)=ROUND('Heat Index Table'!AO4,0),ISBLANK('CSV-Query'!AN4))</f>
        <v>1</v>
      </c>
      <c r="AO5" s="1" t="b">
        <f>IF(NOT(ISBLANK('Heat Index Table'!AP4)),ROUND('CSV-Query'!AO4,0)=ROUND('Heat Index Table'!AP4,0),ISBLANK('CSV-Query'!AO4))</f>
        <v>1</v>
      </c>
      <c r="AP5" s="1" t="b">
        <f>IF(NOT(ISBLANK('Heat Index Table'!AQ4)),ROUND('CSV-Query'!AP4,0)=ROUND('Heat Index Table'!AQ4,0),ISBLANK('CSV-Query'!AP4))</f>
        <v>1</v>
      </c>
      <c r="AQ5" s="1" t="b">
        <f>IF(NOT(ISBLANK('Heat Index Table'!AR4)),ROUND('CSV-Query'!AQ4,0)=ROUND('Heat Index Table'!AR4,0),ISBLANK('CSV-Query'!AQ4))</f>
        <v>1</v>
      </c>
      <c r="AR5" s="1" t="b">
        <f>IF(NOT(ISBLANK('Heat Index Table'!AS4)),ROUND('CSV-Query'!AR4,0)=ROUND('Heat Index Table'!AS4,0),ISBLANK('CSV-Query'!AR4))</f>
        <v>1</v>
      </c>
      <c r="AS5" s="1" t="b">
        <f>IF(NOT(ISBLANK('Heat Index Table'!AT4)),ROUND('CSV-Query'!AS4,0)=ROUND('Heat Index Table'!AT4,0),ISBLANK('CSV-Query'!AS4))</f>
        <v>1</v>
      </c>
      <c r="AT5" s="1" t="b">
        <f>IF(NOT(ISBLANK('Heat Index Table'!AU4)),ROUND('CSV-Query'!AT4,0)=ROUND('Heat Index Table'!AU4,0),ISBLANK('CSV-Query'!AT4))</f>
        <v>1</v>
      </c>
      <c r="AU5" s="1" t="b">
        <f>IF(NOT(ISBLANK('Heat Index Table'!AV4)),ROUND('CSV-Query'!AU4,0)=ROUND('Heat Index Table'!AV4,0),ISBLANK('CSV-Query'!AU4))</f>
        <v>1</v>
      </c>
      <c r="AV5" s="1" t="b">
        <f>IF(NOT(ISBLANK('Heat Index Table'!AW4)),ROUND('CSV-Query'!AV4,0)=ROUND('Heat Index Table'!AW4,0),ISBLANK('CSV-Query'!AV4))</f>
        <v>1</v>
      </c>
      <c r="AW5" s="1" t="b">
        <f>IF(NOT(ISBLANK('Heat Index Table'!AX4)),ROUND('CSV-Query'!AW4,0)=ROUND('Heat Index Table'!AX4,0),ISBLANK('CSV-Query'!AW4))</f>
        <v>1</v>
      </c>
      <c r="AX5" s="1" t="b">
        <f>IF(NOT(ISBLANK('Heat Index Table'!AY4)),ROUND('CSV-Query'!AX4,0)=ROUND('Heat Index Table'!AY4,0),ISBLANK('CSV-Query'!AX4))</f>
        <v>1</v>
      </c>
    </row>
    <row r="6" spans="1:50" x14ac:dyDescent="0.45">
      <c r="A6" s="1">
        <v>122</v>
      </c>
      <c r="B6" s="1" t="b">
        <f>IF(NOT(ISBLANK('Heat Index Table'!C5)),ROUND('CSV-Query'!B5,0)=ROUND('Heat Index Table'!C5,0),ISBLANK('CSV-Query'!B5))</f>
        <v>1</v>
      </c>
      <c r="C6" s="1" t="b">
        <f>IF(NOT(ISBLANK('Heat Index Table'!D5)),ROUND('CSV-Query'!C5,0)=ROUND('Heat Index Table'!D5,0),ISBLANK('CSV-Query'!C5))</f>
        <v>1</v>
      </c>
      <c r="D6" s="1" t="b">
        <f>IF(NOT(ISBLANK('Heat Index Table'!E5)),ROUND('CSV-Query'!D5,0)=ROUND('Heat Index Table'!E5,0),ISBLANK('CSV-Query'!D5))</f>
        <v>1</v>
      </c>
      <c r="E6" s="1" t="b">
        <f>IF(NOT(ISBLANK('Heat Index Table'!F5)),ROUND('CSV-Query'!E5,0)=ROUND('Heat Index Table'!F5,0),ISBLANK('CSV-Query'!E5))</f>
        <v>1</v>
      </c>
      <c r="F6" s="1" t="b">
        <f>IF(NOT(ISBLANK('Heat Index Table'!G5)),ROUND('CSV-Query'!F5,0)=ROUND('Heat Index Table'!G5,0),ISBLANK('CSV-Query'!F5))</f>
        <v>1</v>
      </c>
      <c r="G6" s="1" t="b">
        <f>IF(NOT(ISBLANK('Heat Index Table'!H5)),ROUND('CSV-Query'!G5,0)=ROUND('Heat Index Table'!H5,0),ISBLANK('CSV-Query'!G5))</f>
        <v>1</v>
      </c>
      <c r="H6" s="1" t="b">
        <f>IF(NOT(ISBLANK('Heat Index Table'!I5)),ROUND('CSV-Query'!H5,0)=ROUND('Heat Index Table'!I5,0),ISBLANK('CSV-Query'!H5))</f>
        <v>1</v>
      </c>
      <c r="I6" s="1" t="b">
        <f>IF(NOT(ISBLANK('Heat Index Table'!J5)),ROUND('CSV-Query'!I5,0)=ROUND('Heat Index Table'!J5,0),ISBLANK('CSV-Query'!I5))</f>
        <v>1</v>
      </c>
      <c r="J6" s="1" t="b">
        <f>IF(NOT(ISBLANK('Heat Index Table'!K5)),ROUND('CSV-Query'!J5,0)=ROUND('Heat Index Table'!K5,0),ISBLANK('CSV-Query'!J5))</f>
        <v>1</v>
      </c>
      <c r="K6" s="1" t="b">
        <f>IF(NOT(ISBLANK('Heat Index Table'!L5)),ROUND('CSV-Query'!K5,0)=ROUND('Heat Index Table'!L5,0),ISBLANK('CSV-Query'!K5))</f>
        <v>1</v>
      </c>
      <c r="L6" s="1" t="b">
        <f>IF(NOT(ISBLANK('Heat Index Table'!M5)),ROUND('CSV-Query'!L5,0)=ROUND('Heat Index Table'!M5,0),ISBLANK('CSV-Query'!L5))</f>
        <v>1</v>
      </c>
      <c r="M6" s="1" t="b">
        <f>IF(NOT(ISBLANK('Heat Index Table'!N5)),ROUND('CSV-Query'!M5,0)=ROUND('Heat Index Table'!N5,0),ISBLANK('CSV-Query'!M5))</f>
        <v>1</v>
      </c>
      <c r="N6" s="1" t="b">
        <f>IF(NOT(ISBLANK('Heat Index Table'!O5)),ROUND('CSV-Query'!N5,0)=ROUND('Heat Index Table'!O5,0),ISBLANK('CSV-Query'!N5))</f>
        <v>1</v>
      </c>
      <c r="O6" s="1" t="b">
        <f>IF(NOT(ISBLANK('Heat Index Table'!P5)),ROUND('CSV-Query'!O5,0)=ROUND('Heat Index Table'!P5,0),ISBLANK('CSV-Query'!O5))</f>
        <v>1</v>
      </c>
      <c r="P6" s="1" t="b">
        <f>IF(NOT(ISBLANK('Heat Index Table'!Q5)),ROUND('CSV-Query'!P5,0)=ROUND('Heat Index Table'!Q5,0),ISBLANK('CSV-Query'!P5))</f>
        <v>1</v>
      </c>
      <c r="Q6" s="1" t="b">
        <f>IF(NOT(ISBLANK('Heat Index Table'!R5)),ROUND('CSV-Query'!Q5,0)=ROUND('Heat Index Table'!R5,0),ISBLANK('CSV-Query'!Q5))</f>
        <v>1</v>
      </c>
      <c r="R6" s="1" t="b">
        <f>IF(NOT(ISBLANK('Heat Index Table'!S5)),ROUND('CSV-Query'!R5,0)=ROUND('Heat Index Table'!S5,0),ISBLANK('CSV-Query'!R5))</f>
        <v>1</v>
      </c>
      <c r="S6" s="1" t="b">
        <f>IF(NOT(ISBLANK('Heat Index Table'!T5)),ROUND('CSV-Query'!S5,0)=ROUND('Heat Index Table'!T5,0),ISBLANK('CSV-Query'!S5))</f>
        <v>1</v>
      </c>
      <c r="T6" s="1" t="b">
        <f>IF(NOT(ISBLANK('Heat Index Table'!U5)),ROUND('CSV-Query'!T5,0)=ROUND('Heat Index Table'!U5,0),ISBLANK('CSV-Query'!T5))</f>
        <v>1</v>
      </c>
      <c r="U6" s="1" t="b">
        <f>IF(NOT(ISBLANK('Heat Index Table'!V5)),ROUND('CSV-Query'!U5,0)=ROUND('Heat Index Table'!V5,0),ISBLANK('CSV-Query'!U5))</f>
        <v>1</v>
      </c>
      <c r="V6" s="1" t="b">
        <f>IF(NOT(ISBLANK('Heat Index Table'!W5)),ROUND('CSV-Query'!V5,0)=ROUND('Heat Index Table'!W5,0),ISBLANK('CSV-Query'!V5))</f>
        <v>1</v>
      </c>
      <c r="W6" s="1" t="b">
        <f>IF(NOT(ISBLANK('Heat Index Table'!X5)),ROUND('CSV-Query'!W5,0)=ROUND('Heat Index Table'!X5,0),ISBLANK('CSV-Query'!W5))</f>
        <v>1</v>
      </c>
      <c r="X6" s="1" t="b">
        <f>IF(NOT(ISBLANK('Heat Index Table'!Y5)),ROUND('CSV-Query'!X5,0)=ROUND('Heat Index Table'!Y5,0),ISBLANK('CSV-Query'!X5))</f>
        <v>1</v>
      </c>
      <c r="Y6" s="1" t="b">
        <f>IF(NOT(ISBLANK('Heat Index Table'!Z5)),ROUND('CSV-Query'!Y5,0)=ROUND('Heat Index Table'!Z5,0),ISBLANK('CSV-Query'!Y5))</f>
        <v>1</v>
      </c>
      <c r="Z6" s="1" t="b">
        <f>IF(NOT(ISBLANK('Heat Index Table'!AA5)),ROUND('CSV-Query'!Z5,0)=ROUND('Heat Index Table'!AA5,0),ISBLANK('CSV-Query'!Z5))</f>
        <v>1</v>
      </c>
      <c r="AA6" s="1" t="b">
        <f>IF(NOT(ISBLANK('Heat Index Table'!AB5)),ROUND('CSV-Query'!AA5,0)=ROUND('Heat Index Table'!AB5,0),ISBLANK('CSV-Query'!AA5))</f>
        <v>1</v>
      </c>
      <c r="AB6" s="1" t="b">
        <f>IF(NOT(ISBLANK('Heat Index Table'!AC5)),ROUND('CSV-Query'!AB5,0)=ROUND('Heat Index Table'!AC5,0),ISBLANK('CSV-Query'!AB5))</f>
        <v>1</v>
      </c>
      <c r="AC6" s="1" t="b">
        <f>IF(NOT(ISBLANK('Heat Index Table'!AD5)),ROUND('CSV-Query'!AC5,0)=ROUND('Heat Index Table'!AD5,0),ISBLANK('CSV-Query'!AC5))</f>
        <v>1</v>
      </c>
      <c r="AD6" s="1" t="b">
        <f>IF(NOT(ISBLANK('Heat Index Table'!AE5)),ROUND('CSV-Query'!AD5,0)=ROUND('Heat Index Table'!AE5,0),ISBLANK('CSV-Query'!AD5))</f>
        <v>1</v>
      </c>
      <c r="AE6" s="1" t="b">
        <f>IF(NOT(ISBLANK('Heat Index Table'!AF5)),ROUND('CSV-Query'!AE5,0)=ROUND('Heat Index Table'!AF5,0),ISBLANK('CSV-Query'!AE5))</f>
        <v>1</v>
      </c>
      <c r="AF6" s="1" t="b">
        <f>IF(NOT(ISBLANK('Heat Index Table'!AG5)),ROUND('CSV-Query'!AF5,0)=ROUND('Heat Index Table'!AG5,0),ISBLANK('CSV-Query'!AF5))</f>
        <v>1</v>
      </c>
      <c r="AG6" s="1" t="b">
        <f>IF(NOT(ISBLANK('Heat Index Table'!AH5)),ROUND('CSV-Query'!AG5,0)=ROUND('Heat Index Table'!AH5,0),ISBLANK('CSV-Query'!AG5))</f>
        <v>1</v>
      </c>
      <c r="AH6" s="1" t="b">
        <f>IF(NOT(ISBLANK('Heat Index Table'!AI5)),ROUND('CSV-Query'!AH5,0)=ROUND('Heat Index Table'!AI5,0),ISBLANK('CSV-Query'!AH5))</f>
        <v>1</v>
      </c>
      <c r="AI6" s="1" t="b">
        <f>IF(NOT(ISBLANK('Heat Index Table'!AJ5)),ROUND('CSV-Query'!AI5,0)=ROUND('Heat Index Table'!AJ5,0),ISBLANK('CSV-Query'!AI5))</f>
        <v>1</v>
      </c>
      <c r="AJ6" s="1" t="b">
        <f>IF(NOT(ISBLANK('Heat Index Table'!AK5)),ROUND('CSV-Query'!AJ5,0)=ROUND('Heat Index Table'!AK5,0),ISBLANK('CSV-Query'!AJ5))</f>
        <v>1</v>
      </c>
      <c r="AK6" s="1" t="b">
        <f>IF(NOT(ISBLANK('Heat Index Table'!AL5)),ROUND('CSV-Query'!AK5,0)=ROUND('Heat Index Table'!AL5,0),ISBLANK('CSV-Query'!AK5))</f>
        <v>1</v>
      </c>
      <c r="AL6" s="1" t="b">
        <f>IF(NOT(ISBLANK('Heat Index Table'!AM5)),ROUND('CSV-Query'!AL5,0)=ROUND('Heat Index Table'!AM5,0),ISBLANK('CSV-Query'!AL5))</f>
        <v>1</v>
      </c>
      <c r="AM6" s="1" t="b">
        <f>IF(NOT(ISBLANK('Heat Index Table'!AN5)),ROUND('CSV-Query'!AM5,0)=ROUND('Heat Index Table'!AN5,0),ISBLANK('CSV-Query'!AM5))</f>
        <v>1</v>
      </c>
      <c r="AN6" s="1" t="b">
        <f>IF(NOT(ISBLANK('Heat Index Table'!AO5)),ROUND('CSV-Query'!AN5,0)=ROUND('Heat Index Table'!AO5,0),ISBLANK('CSV-Query'!AN5))</f>
        <v>1</v>
      </c>
      <c r="AO6" s="1" t="b">
        <f>IF(NOT(ISBLANK('Heat Index Table'!AP5)),ROUND('CSV-Query'!AO5,0)=ROUND('Heat Index Table'!AP5,0),ISBLANK('CSV-Query'!AO5))</f>
        <v>1</v>
      </c>
      <c r="AP6" s="1" t="b">
        <f>IF(NOT(ISBLANK('Heat Index Table'!AQ5)),ROUND('CSV-Query'!AP5,0)=ROUND('Heat Index Table'!AQ5,0),ISBLANK('CSV-Query'!AP5))</f>
        <v>1</v>
      </c>
      <c r="AQ6" s="1" t="b">
        <f>IF(NOT(ISBLANK('Heat Index Table'!AR5)),ROUND('CSV-Query'!AQ5,0)=ROUND('Heat Index Table'!AR5,0),ISBLANK('CSV-Query'!AQ5))</f>
        <v>1</v>
      </c>
      <c r="AR6" s="1" t="b">
        <f>IF(NOT(ISBLANK('Heat Index Table'!AS5)),ROUND('CSV-Query'!AR5,0)=ROUND('Heat Index Table'!AS5,0),ISBLANK('CSV-Query'!AR5))</f>
        <v>1</v>
      </c>
      <c r="AS6" s="1" t="b">
        <f>IF(NOT(ISBLANK('Heat Index Table'!AT5)),ROUND('CSV-Query'!AS5,0)=ROUND('Heat Index Table'!AT5,0),ISBLANK('CSV-Query'!AS5))</f>
        <v>1</v>
      </c>
      <c r="AT6" s="1" t="b">
        <f>IF(NOT(ISBLANK('Heat Index Table'!AU5)),ROUND('CSV-Query'!AT5,0)=ROUND('Heat Index Table'!AU5,0),ISBLANK('CSV-Query'!AT5))</f>
        <v>1</v>
      </c>
      <c r="AU6" s="1" t="b">
        <f>IF(NOT(ISBLANK('Heat Index Table'!AV5)),ROUND('CSV-Query'!AU5,0)=ROUND('Heat Index Table'!AV5,0),ISBLANK('CSV-Query'!AU5))</f>
        <v>1</v>
      </c>
      <c r="AV6" s="1" t="b">
        <f>IF(NOT(ISBLANK('Heat Index Table'!AW5)),ROUND('CSV-Query'!AV5,0)=ROUND('Heat Index Table'!AW5,0),ISBLANK('CSV-Query'!AV5))</f>
        <v>1</v>
      </c>
      <c r="AW6" s="1" t="b">
        <f>IF(NOT(ISBLANK('Heat Index Table'!AX5)),ROUND('CSV-Query'!AW5,0)=ROUND('Heat Index Table'!AX5,0),ISBLANK('CSV-Query'!AW5))</f>
        <v>1</v>
      </c>
      <c r="AX6" s="1" t="b">
        <f>IF(NOT(ISBLANK('Heat Index Table'!AY5)),ROUND('CSV-Query'!AX5,0)=ROUND('Heat Index Table'!AY5,0),ISBLANK('CSV-Query'!AX5))</f>
        <v>1</v>
      </c>
    </row>
    <row r="7" spans="1:50" x14ac:dyDescent="0.45">
      <c r="A7" s="1">
        <v>120</v>
      </c>
      <c r="B7" s="1" t="b">
        <f>IF(NOT(ISBLANK('Heat Index Table'!C6)),ROUND('CSV-Query'!B6,0)=ROUND('Heat Index Table'!C6,0),ISBLANK('CSV-Query'!B6))</f>
        <v>1</v>
      </c>
      <c r="C7" s="1" t="b">
        <f>IF(NOT(ISBLANK('Heat Index Table'!D6)),ROUND('CSV-Query'!C6,0)=ROUND('Heat Index Table'!D6,0),ISBLANK('CSV-Query'!C6))</f>
        <v>1</v>
      </c>
      <c r="D7" s="1" t="b">
        <f>IF(NOT(ISBLANK('Heat Index Table'!E6)),ROUND('CSV-Query'!D6,0)=ROUND('Heat Index Table'!E6,0),ISBLANK('CSV-Query'!D6))</f>
        <v>1</v>
      </c>
      <c r="E7" s="1" t="b">
        <f>IF(NOT(ISBLANK('Heat Index Table'!F6)),ROUND('CSV-Query'!E6,0)=ROUND('Heat Index Table'!F6,0),ISBLANK('CSV-Query'!E6))</f>
        <v>1</v>
      </c>
      <c r="F7" s="1" t="b">
        <f>IF(NOT(ISBLANK('Heat Index Table'!G6)),ROUND('CSV-Query'!F6,0)=ROUND('Heat Index Table'!G6,0),ISBLANK('CSV-Query'!F6))</f>
        <v>1</v>
      </c>
      <c r="G7" s="1" t="b">
        <f>IF(NOT(ISBLANK('Heat Index Table'!H6)),ROUND('CSV-Query'!G6,0)=ROUND('Heat Index Table'!H6,0),ISBLANK('CSV-Query'!G6))</f>
        <v>1</v>
      </c>
      <c r="H7" s="1" t="b">
        <f>IF(NOT(ISBLANK('Heat Index Table'!I6)),ROUND('CSV-Query'!H6,0)=ROUND('Heat Index Table'!I6,0),ISBLANK('CSV-Query'!H6))</f>
        <v>1</v>
      </c>
      <c r="I7" s="1" t="b">
        <f>IF(NOT(ISBLANK('Heat Index Table'!J6)),ROUND('CSV-Query'!I6,0)=ROUND('Heat Index Table'!J6,0),ISBLANK('CSV-Query'!I6))</f>
        <v>1</v>
      </c>
      <c r="J7" s="1" t="b">
        <f>IF(NOT(ISBLANK('Heat Index Table'!K6)),ROUND('CSV-Query'!J6,0)=ROUND('Heat Index Table'!K6,0),ISBLANK('CSV-Query'!J6))</f>
        <v>1</v>
      </c>
      <c r="K7" s="1" t="b">
        <f>IF(NOT(ISBLANK('Heat Index Table'!L6)),ROUND('CSV-Query'!K6,0)=ROUND('Heat Index Table'!L6,0),ISBLANK('CSV-Query'!K6))</f>
        <v>1</v>
      </c>
      <c r="L7" s="1" t="b">
        <f>IF(NOT(ISBLANK('Heat Index Table'!M6)),ROUND('CSV-Query'!L6,0)=ROUND('Heat Index Table'!M6,0),ISBLANK('CSV-Query'!L6))</f>
        <v>1</v>
      </c>
      <c r="M7" s="1" t="b">
        <f>IF(NOT(ISBLANK('Heat Index Table'!N6)),ROUND('CSV-Query'!M6,0)=ROUND('Heat Index Table'!N6,0),ISBLANK('CSV-Query'!M6))</f>
        <v>1</v>
      </c>
      <c r="N7" s="1" t="b">
        <f>IF(NOT(ISBLANK('Heat Index Table'!O6)),ROUND('CSV-Query'!N6,0)=ROUND('Heat Index Table'!O6,0),ISBLANK('CSV-Query'!N6))</f>
        <v>1</v>
      </c>
      <c r="O7" s="1" t="b">
        <f>IF(NOT(ISBLANK('Heat Index Table'!P6)),ROUND('CSV-Query'!O6,0)=ROUND('Heat Index Table'!P6,0),ISBLANK('CSV-Query'!O6))</f>
        <v>1</v>
      </c>
      <c r="P7" s="1" t="b">
        <f>IF(NOT(ISBLANK('Heat Index Table'!Q6)),ROUND('CSV-Query'!P6,0)=ROUND('Heat Index Table'!Q6,0),ISBLANK('CSV-Query'!P6))</f>
        <v>1</v>
      </c>
      <c r="Q7" s="1" t="b">
        <f>IF(NOT(ISBLANK('Heat Index Table'!R6)),ROUND('CSV-Query'!Q6,0)=ROUND('Heat Index Table'!R6,0),ISBLANK('CSV-Query'!Q6))</f>
        <v>1</v>
      </c>
      <c r="R7" s="1" t="b">
        <f>IF(NOT(ISBLANK('Heat Index Table'!S6)),ROUND('CSV-Query'!R6,0)=ROUND('Heat Index Table'!S6,0),ISBLANK('CSV-Query'!R6))</f>
        <v>1</v>
      </c>
      <c r="S7" s="1" t="b">
        <f>IF(NOT(ISBLANK('Heat Index Table'!T6)),ROUND('CSV-Query'!S6,0)=ROUND('Heat Index Table'!T6,0),ISBLANK('CSV-Query'!S6))</f>
        <v>1</v>
      </c>
      <c r="T7" s="1" t="b">
        <f>IF(NOT(ISBLANK('Heat Index Table'!U6)),ROUND('CSV-Query'!T6,0)=ROUND('Heat Index Table'!U6,0),ISBLANK('CSV-Query'!T6))</f>
        <v>1</v>
      </c>
      <c r="U7" s="1" t="b">
        <f>IF(NOT(ISBLANK('Heat Index Table'!V6)),ROUND('CSV-Query'!U6,0)=ROUND('Heat Index Table'!V6,0),ISBLANK('CSV-Query'!U6))</f>
        <v>1</v>
      </c>
      <c r="V7" s="1" t="b">
        <f>IF(NOT(ISBLANK('Heat Index Table'!W6)),ROUND('CSV-Query'!V6,0)=ROUND('Heat Index Table'!W6,0),ISBLANK('CSV-Query'!V6))</f>
        <v>1</v>
      </c>
      <c r="W7" s="1" t="b">
        <f>IF(NOT(ISBLANK('Heat Index Table'!X6)),ROUND('CSV-Query'!W6,0)=ROUND('Heat Index Table'!X6,0),ISBLANK('CSV-Query'!W6))</f>
        <v>1</v>
      </c>
      <c r="X7" s="1" t="b">
        <f>IF(NOT(ISBLANK('Heat Index Table'!Y6)),ROUND('CSV-Query'!X6,0)=ROUND('Heat Index Table'!Y6,0),ISBLANK('CSV-Query'!X6))</f>
        <v>1</v>
      </c>
      <c r="Y7" s="1" t="b">
        <f>IF(NOT(ISBLANK('Heat Index Table'!Z6)),ROUND('CSV-Query'!Y6,0)=ROUND('Heat Index Table'!Z6,0),ISBLANK('CSV-Query'!Y6))</f>
        <v>1</v>
      </c>
      <c r="Z7" s="1" t="b">
        <f>IF(NOT(ISBLANK('Heat Index Table'!AA6)),ROUND('CSV-Query'!Z6,0)=ROUND('Heat Index Table'!AA6,0),ISBLANK('CSV-Query'!Z6))</f>
        <v>1</v>
      </c>
      <c r="AA7" s="1" t="b">
        <f>IF(NOT(ISBLANK('Heat Index Table'!AB6)),ROUND('CSV-Query'!AA6,0)=ROUND('Heat Index Table'!AB6,0),ISBLANK('CSV-Query'!AA6))</f>
        <v>1</v>
      </c>
      <c r="AB7" s="1" t="b">
        <f>IF(NOT(ISBLANK('Heat Index Table'!AC6)),ROUND('CSV-Query'!AB6,0)=ROUND('Heat Index Table'!AC6,0),ISBLANK('CSV-Query'!AB6))</f>
        <v>1</v>
      </c>
      <c r="AC7" s="1" t="b">
        <f>IF(NOT(ISBLANK('Heat Index Table'!AD6)),ROUND('CSV-Query'!AC6,0)=ROUND('Heat Index Table'!AD6,0),ISBLANK('CSV-Query'!AC6))</f>
        <v>1</v>
      </c>
      <c r="AD7" s="1" t="b">
        <f>IF(NOT(ISBLANK('Heat Index Table'!AE6)),ROUND('CSV-Query'!AD6,0)=ROUND('Heat Index Table'!AE6,0),ISBLANK('CSV-Query'!AD6))</f>
        <v>1</v>
      </c>
      <c r="AE7" s="1" t="b">
        <f>IF(NOT(ISBLANK('Heat Index Table'!AF6)),ROUND('CSV-Query'!AE6,0)=ROUND('Heat Index Table'!AF6,0),ISBLANK('CSV-Query'!AE6))</f>
        <v>1</v>
      </c>
      <c r="AF7" s="1" t="b">
        <f>IF(NOT(ISBLANK('Heat Index Table'!AG6)),ROUND('CSV-Query'!AF6,0)=ROUND('Heat Index Table'!AG6,0),ISBLANK('CSV-Query'!AF6))</f>
        <v>1</v>
      </c>
      <c r="AG7" s="1" t="b">
        <f>IF(NOT(ISBLANK('Heat Index Table'!AH6)),ROUND('CSV-Query'!AG6,0)=ROUND('Heat Index Table'!AH6,0),ISBLANK('CSV-Query'!AG6))</f>
        <v>1</v>
      </c>
      <c r="AH7" s="1" t="b">
        <f>IF(NOT(ISBLANK('Heat Index Table'!AI6)),ROUND('CSV-Query'!AH6,0)=ROUND('Heat Index Table'!AI6,0),ISBLANK('CSV-Query'!AH6))</f>
        <v>1</v>
      </c>
      <c r="AI7" s="1" t="b">
        <f>IF(NOT(ISBLANK('Heat Index Table'!AJ6)),ROUND('CSV-Query'!AI6,0)=ROUND('Heat Index Table'!AJ6,0),ISBLANK('CSV-Query'!AI6))</f>
        <v>1</v>
      </c>
      <c r="AJ7" s="1" t="b">
        <f>IF(NOT(ISBLANK('Heat Index Table'!AK6)),ROUND('CSV-Query'!AJ6,0)=ROUND('Heat Index Table'!AK6,0),ISBLANK('CSV-Query'!AJ6))</f>
        <v>1</v>
      </c>
      <c r="AK7" s="1" t="b">
        <f>IF(NOT(ISBLANK('Heat Index Table'!AL6)),ROUND('CSV-Query'!AK6,0)=ROUND('Heat Index Table'!AL6,0),ISBLANK('CSV-Query'!AK6))</f>
        <v>1</v>
      </c>
      <c r="AL7" s="1" t="b">
        <f>IF(NOT(ISBLANK('Heat Index Table'!AM6)),ROUND('CSV-Query'!AL6,0)=ROUND('Heat Index Table'!AM6,0),ISBLANK('CSV-Query'!AL6))</f>
        <v>1</v>
      </c>
      <c r="AM7" s="1" t="b">
        <f>IF(NOT(ISBLANK('Heat Index Table'!AN6)),ROUND('CSV-Query'!AM6,0)=ROUND('Heat Index Table'!AN6,0),ISBLANK('CSV-Query'!AM6))</f>
        <v>1</v>
      </c>
      <c r="AN7" s="1" t="b">
        <f>IF(NOT(ISBLANK('Heat Index Table'!AO6)),ROUND('CSV-Query'!AN6,0)=ROUND('Heat Index Table'!AO6,0),ISBLANK('CSV-Query'!AN6))</f>
        <v>1</v>
      </c>
      <c r="AO7" s="1" t="b">
        <f>IF(NOT(ISBLANK('Heat Index Table'!AP6)),ROUND('CSV-Query'!AO6,0)=ROUND('Heat Index Table'!AP6,0),ISBLANK('CSV-Query'!AO6))</f>
        <v>1</v>
      </c>
      <c r="AP7" s="1" t="b">
        <f>IF(NOT(ISBLANK('Heat Index Table'!AQ6)),ROUND('CSV-Query'!AP6,0)=ROUND('Heat Index Table'!AQ6,0),ISBLANK('CSV-Query'!AP6))</f>
        <v>1</v>
      </c>
      <c r="AQ7" s="1" t="b">
        <f>IF(NOT(ISBLANK('Heat Index Table'!AR6)),ROUND('CSV-Query'!AQ6,0)=ROUND('Heat Index Table'!AR6,0),ISBLANK('CSV-Query'!AQ6))</f>
        <v>1</v>
      </c>
      <c r="AR7" s="1" t="b">
        <f>IF(NOT(ISBLANK('Heat Index Table'!AS6)),ROUND('CSV-Query'!AR6,0)=ROUND('Heat Index Table'!AS6,0),ISBLANK('CSV-Query'!AR6))</f>
        <v>1</v>
      </c>
      <c r="AS7" s="1" t="b">
        <f>IF(NOT(ISBLANK('Heat Index Table'!AT6)),ROUND('CSV-Query'!AS6,0)=ROUND('Heat Index Table'!AT6,0),ISBLANK('CSV-Query'!AS6))</f>
        <v>1</v>
      </c>
      <c r="AT7" s="1" t="b">
        <f>IF(NOT(ISBLANK('Heat Index Table'!AU6)),ROUND('CSV-Query'!AT6,0)=ROUND('Heat Index Table'!AU6,0),ISBLANK('CSV-Query'!AT6))</f>
        <v>1</v>
      </c>
      <c r="AU7" s="1" t="b">
        <f>IF(NOT(ISBLANK('Heat Index Table'!AV6)),ROUND('CSV-Query'!AU6,0)=ROUND('Heat Index Table'!AV6,0),ISBLANK('CSV-Query'!AU6))</f>
        <v>1</v>
      </c>
      <c r="AV7" s="1" t="b">
        <f>IF(NOT(ISBLANK('Heat Index Table'!AW6)),ROUND('CSV-Query'!AV6,0)=ROUND('Heat Index Table'!AW6,0),ISBLANK('CSV-Query'!AV6))</f>
        <v>1</v>
      </c>
      <c r="AW7" s="1" t="b">
        <f>IF(NOT(ISBLANK('Heat Index Table'!AX6)),ROUND('CSV-Query'!AW6,0)=ROUND('Heat Index Table'!AX6,0),ISBLANK('CSV-Query'!AW6))</f>
        <v>1</v>
      </c>
      <c r="AX7" s="1" t="b">
        <f>IF(NOT(ISBLANK('Heat Index Table'!AY6)),ROUND('CSV-Query'!AX6,0)=ROUND('Heat Index Table'!AY6,0),ISBLANK('CSV-Query'!AX6))</f>
        <v>1</v>
      </c>
    </row>
    <row r="8" spans="1:50" x14ac:dyDescent="0.45">
      <c r="A8" s="1">
        <v>118</v>
      </c>
      <c r="B8" s="1" t="b">
        <f>IF(NOT(ISBLANK('Heat Index Table'!C7)),ROUND('CSV-Query'!B7,0)=ROUND('Heat Index Table'!C7,0),ISBLANK('CSV-Query'!B7))</f>
        <v>1</v>
      </c>
      <c r="C8" s="1" t="b">
        <f>IF(NOT(ISBLANK('Heat Index Table'!D7)),ROUND('CSV-Query'!C7,0)=ROUND('Heat Index Table'!D7,0),ISBLANK('CSV-Query'!C7))</f>
        <v>1</v>
      </c>
      <c r="D8" s="1" t="b">
        <f>IF(NOT(ISBLANK('Heat Index Table'!E7)),ROUND('CSV-Query'!D7,0)=ROUND('Heat Index Table'!E7,0),ISBLANK('CSV-Query'!D7))</f>
        <v>1</v>
      </c>
      <c r="E8" s="1" t="b">
        <f>IF(NOT(ISBLANK('Heat Index Table'!F7)),ROUND('CSV-Query'!E7,0)=ROUND('Heat Index Table'!F7,0),ISBLANK('CSV-Query'!E7))</f>
        <v>1</v>
      </c>
      <c r="F8" s="1" t="b">
        <f>IF(NOT(ISBLANK('Heat Index Table'!G7)),ROUND('CSV-Query'!F7,0)=ROUND('Heat Index Table'!G7,0),ISBLANK('CSV-Query'!F7))</f>
        <v>1</v>
      </c>
      <c r="G8" s="1" t="b">
        <f>IF(NOT(ISBLANK('Heat Index Table'!H7)),ROUND('CSV-Query'!G7,0)=ROUND('Heat Index Table'!H7,0),ISBLANK('CSV-Query'!G7))</f>
        <v>1</v>
      </c>
      <c r="H8" s="1" t="b">
        <f>IF(NOT(ISBLANK('Heat Index Table'!I7)),ROUND('CSV-Query'!H7,0)=ROUND('Heat Index Table'!I7,0),ISBLANK('CSV-Query'!H7))</f>
        <v>1</v>
      </c>
      <c r="I8" s="1" t="b">
        <f>IF(NOT(ISBLANK('Heat Index Table'!J7)),ROUND('CSV-Query'!I7,0)=ROUND('Heat Index Table'!J7,0),ISBLANK('CSV-Query'!I7))</f>
        <v>1</v>
      </c>
      <c r="J8" s="1" t="b">
        <f>IF(NOT(ISBLANK('Heat Index Table'!K7)),ROUND('CSV-Query'!J7,0)=ROUND('Heat Index Table'!K7,0),ISBLANK('CSV-Query'!J7))</f>
        <v>1</v>
      </c>
      <c r="K8" s="1" t="b">
        <f>IF(NOT(ISBLANK('Heat Index Table'!L7)),ROUND('CSV-Query'!K7,0)=ROUND('Heat Index Table'!L7,0),ISBLANK('CSV-Query'!K7))</f>
        <v>1</v>
      </c>
      <c r="L8" s="1" t="b">
        <f>IF(NOT(ISBLANK('Heat Index Table'!M7)),ROUND('CSV-Query'!L7,0)=ROUND('Heat Index Table'!M7,0),ISBLANK('CSV-Query'!L7))</f>
        <v>1</v>
      </c>
      <c r="M8" s="1" t="b">
        <f>IF(NOT(ISBLANK('Heat Index Table'!N7)),ROUND('CSV-Query'!M7,0)=ROUND('Heat Index Table'!N7,0),ISBLANK('CSV-Query'!M7))</f>
        <v>1</v>
      </c>
      <c r="N8" s="1" t="b">
        <f>IF(NOT(ISBLANK('Heat Index Table'!O7)),ROUND('CSV-Query'!N7,0)=ROUND('Heat Index Table'!O7,0),ISBLANK('CSV-Query'!N7))</f>
        <v>1</v>
      </c>
      <c r="O8" s="1" t="b">
        <f>IF(NOT(ISBLANK('Heat Index Table'!P7)),ROUND('CSV-Query'!O7,0)=ROUND('Heat Index Table'!P7,0),ISBLANK('CSV-Query'!O7))</f>
        <v>1</v>
      </c>
      <c r="P8" s="1" t="b">
        <f>IF(NOT(ISBLANK('Heat Index Table'!Q7)),ROUND('CSV-Query'!P7,0)=ROUND('Heat Index Table'!Q7,0),ISBLANK('CSV-Query'!P7))</f>
        <v>1</v>
      </c>
      <c r="Q8" s="1" t="b">
        <f>IF(NOT(ISBLANK('Heat Index Table'!R7)),ROUND('CSV-Query'!Q7,0)=ROUND('Heat Index Table'!R7,0),ISBLANK('CSV-Query'!Q7))</f>
        <v>1</v>
      </c>
      <c r="R8" s="1" t="b">
        <f>IF(NOT(ISBLANK('Heat Index Table'!S7)),ROUND('CSV-Query'!R7,0)=ROUND('Heat Index Table'!S7,0),ISBLANK('CSV-Query'!R7))</f>
        <v>1</v>
      </c>
      <c r="S8" s="1" t="b">
        <f>IF(NOT(ISBLANK('Heat Index Table'!T7)),ROUND('CSV-Query'!S7,0)=ROUND('Heat Index Table'!T7,0),ISBLANK('CSV-Query'!S7))</f>
        <v>1</v>
      </c>
      <c r="T8" s="1" t="b">
        <f>IF(NOT(ISBLANK('Heat Index Table'!U7)),ROUND('CSV-Query'!T7,0)=ROUND('Heat Index Table'!U7,0),ISBLANK('CSV-Query'!T7))</f>
        <v>1</v>
      </c>
      <c r="U8" s="1" t="b">
        <f>IF(NOT(ISBLANK('Heat Index Table'!V7)),ROUND('CSV-Query'!U7,0)=ROUND('Heat Index Table'!V7,0),ISBLANK('CSV-Query'!U7))</f>
        <v>1</v>
      </c>
      <c r="V8" s="1" t="b">
        <f>IF(NOT(ISBLANK('Heat Index Table'!W7)),ROUND('CSV-Query'!V7,0)=ROUND('Heat Index Table'!W7,0),ISBLANK('CSV-Query'!V7))</f>
        <v>1</v>
      </c>
      <c r="W8" s="1" t="b">
        <f>IF(NOT(ISBLANK('Heat Index Table'!X7)),ROUND('CSV-Query'!W7,0)=ROUND('Heat Index Table'!X7,0),ISBLANK('CSV-Query'!W7))</f>
        <v>1</v>
      </c>
      <c r="X8" s="1" t="b">
        <f>IF(NOT(ISBLANK('Heat Index Table'!Y7)),ROUND('CSV-Query'!X7,0)=ROUND('Heat Index Table'!Y7,0),ISBLANK('CSV-Query'!X7))</f>
        <v>1</v>
      </c>
      <c r="Y8" s="1" t="b">
        <f>IF(NOT(ISBLANK('Heat Index Table'!Z7)),ROUND('CSV-Query'!Y7,0)=ROUND('Heat Index Table'!Z7,0),ISBLANK('CSV-Query'!Y7))</f>
        <v>1</v>
      </c>
      <c r="Z8" s="1" t="b">
        <f>IF(NOT(ISBLANK('Heat Index Table'!AA7)),ROUND('CSV-Query'!Z7,0)=ROUND('Heat Index Table'!AA7,0),ISBLANK('CSV-Query'!Z7))</f>
        <v>1</v>
      </c>
      <c r="AA8" s="1" t="b">
        <f>IF(NOT(ISBLANK('Heat Index Table'!AB7)),ROUND('CSV-Query'!AA7,0)=ROUND('Heat Index Table'!AB7,0),ISBLANK('CSV-Query'!AA7))</f>
        <v>1</v>
      </c>
      <c r="AB8" s="1" t="b">
        <f>IF(NOT(ISBLANK('Heat Index Table'!AC7)),ROUND('CSV-Query'!AB7,0)=ROUND('Heat Index Table'!AC7,0),ISBLANK('CSV-Query'!AB7))</f>
        <v>1</v>
      </c>
      <c r="AC8" s="1" t="b">
        <f>IF(NOT(ISBLANK('Heat Index Table'!AD7)),ROUND('CSV-Query'!AC7,0)=ROUND('Heat Index Table'!AD7,0),ISBLANK('CSV-Query'!AC7))</f>
        <v>1</v>
      </c>
      <c r="AD8" s="1" t="b">
        <f>IF(NOT(ISBLANK('Heat Index Table'!AE7)),ROUND('CSV-Query'!AD7,0)=ROUND('Heat Index Table'!AE7,0),ISBLANK('CSV-Query'!AD7))</f>
        <v>1</v>
      </c>
      <c r="AE8" s="1" t="b">
        <f>IF(NOT(ISBLANK('Heat Index Table'!AF7)),ROUND('CSV-Query'!AE7,0)=ROUND('Heat Index Table'!AF7,0),ISBLANK('CSV-Query'!AE7))</f>
        <v>1</v>
      </c>
      <c r="AF8" s="1" t="b">
        <f>IF(NOT(ISBLANK('Heat Index Table'!AG7)),ROUND('CSV-Query'!AF7,0)=ROUND('Heat Index Table'!AG7,0),ISBLANK('CSV-Query'!AF7))</f>
        <v>1</v>
      </c>
      <c r="AG8" s="1" t="b">
        <f>IF(NOT(ISBLANK('Heat Index Table'!AH7)),ROUND('CSV-Query'!AG7,0)=ROUND('Heat Index Table'!AH7,0),ISBLANK('CSV-Query'!AG7))</f>
        <v>1</v>
      </c>
      <c r="AH8" s="1" t="b">
        <f>IF(NOT(ISBLANK('Heat Index Table'!AI7)),ROUND('CSV-Query'!AH7,0)=ROUND('Heat Index Table'!AI7,0),ISBLANK('CSV-Query'!AH7))</f>
        <v>1</v>
      </c>
      <c r="AI8" s="1" t="b">
        <f>IF(NOT(ISBLANK('Heat Index Table'!AJ7)),ROUND('CSV-Query'!AI7,0)=ROUND('Heat Index Table'!AJ7,0),ISBLANK('CSV-Query'!AI7))</f>
        <v>1</v>
      </c>
      <c r="AJ8" s="1" t="b">
        <f>IF(NOT(ISBLANK('Heat Index Table'!AK7)),ROUND('CSV-Query'!AJ7,0)=ROUND('Heat Index Table'!AK7,0),ISBLANK('CSV-Query'!AJ7))</f>
        <v>1</v>
      </c>
      <c r="AK8" s="1" t="b">
        <f>IF(NOT(ISBLANK('Heat Index Table'!AL7)),ROUND('CSV-Query'!AK7,0)=ROUND('Heat Index Table'!AL7,0),ISBLANK('CSV-Query'!AK7))</f>
        <v>1</v>
      </c>
      <c r="AL8" s="1" t="b">
        <f>IF(NOT(ISBLANK('Heat Index Table'!AM7)),ROUND('CSV-Query'!AL7,0)=ROUND('Heat Index Table'!AM7,0),ISBLANK('CSV-Query'!AL7))</f>
        <v>1</v>
      </c>
      <c r="AM8" s="1" t="b">
        <f>IF(NOT(ISBLANK('Heat Index Table'!AN7)),ROUND('CSV-Query'!AM7,0)=ROUND('Heat Index Table'!AN7,0),ISBLANK('CSV-Query'!AM7))</f>
        <v>1</v>
      </c>
      <c r="AN8" s="1" t="b">
        <f>IF(NOT(ISBLANK('Heat Index Table'!AO7)),ROUND('CSV-Query'!AN7,0)=ROUND('Heat Index Table'!AO7,0),ISBLANK('CSV-Query'!AN7))</f>
        <v>1</v>
      </c>
      <c r="AO8" s="1" t="b">
        <f>IF(NOT(ISBLANK('Heat Index Table'!AP7)),ROUND('CSV-Query'!AO7,0)=ROUND('Heat Index Table'!AP7,0),ISBLANK('CSV-Query'!AO7))</f>
        <v>1</v>
      </c>
      <c r="AP8" s="1" t="b">
        <f>IF(NOT(ISBLANK('Heat Index Table'!AQ7)),ROUND('CSV-Query'!AP7,0)=ROUND('Heat Index Table'!AQ7,0),ISBLANK('CSV-Query'!AP7))</f>
        <v>1</v>
      </c>
      <c r="AQ8" s="1" t="b">
        <f>IF(NOT(ISBLANK('Heat Index Table'!AR7)),ROUND('CSV-Query'!AQ7,0)=ROUND('Heat Index Table'!AR7,0),ISBLANK('CSV-Query'!AQ7))</f>
        <v>1</v>
      </c>
      <c r="AR8" s="1" t="b">
        <f>IF(NOT(ISBLANK('Heat Index Table'!AS7)),ROUND('CSV-Query'!AR7,0)=ROUND('Heat Index Table'!AS7,0),ISBLANK('CSV-Query'!AR7))</f>
        <v>1</v>
      </c>
      <c r="AS8" s="1" t="b">
        <f>IF(NOT(ISBLANK('Heat Index Table'!AT7)),ROUND('CSV-Query'!AS7,0)=ROUND('Heat Index Table'!AT7,0),ISBLANK('CSV-Query'!AS7))</f>
        <v>1</v>
      </c>
      <c r="AT8" s="1" t="b">
        <f>IF(NOT(ISBLANK('Heat Index Table'!AU7)),ROUND('CSV-Query'!AT7,0)=ROUND('Heat Index Table'!AU7,0),ISBLANK('CSV-Query'!AT7))</f>
        <v>1</v>
      </c>
      <c r="AU8" s="1" t="b">
        <f>IF(NOT(ISBLANK('Heat Index Table'!AV7)),ROUND('CSV-Query'!AU7,0)=ROUND('Heat Index Table'!AV7,0),ISBLANK('CSV-Query'!AU7))</f>
        <v>1</v>
      </c>
      <c r="AV8" s="1" t="b">
        <f>IF(NOT(ISBLANK('Heat Index Table'!AW7)),ROUND('CSV-Query'!AV7,0)=ROUND('Heat Index Table'!AW7,0),ISBLANK('CSV-Query'!AV7))</f>
        <v>1</v>
      </c>
      <c r="AW8" s="1" t="b">
        <f>IF(NOT(ISBLANK('Heat Index Table'!AX7)),ROUND('CSV-Query'!AW7,0)=ROUND('Heat Index Table'!AX7,0),ISBLANK('CSV-Query'!AW7))</f>
        <v>1</v>
      </c>
      <c r="AX8" s="1" t="b">
        <f>IF(NOT(ISBLANK('Heat Index Table'!AY7)),ROUND('CSV-Query'!AX7,0)=ROUND('Heat Index Table'!AY7,0),ISBLANK('CSV-Query'!AX7))</f>
        <v>1</v>
      </c>
    </row>
    <row r="9" spans="1:50" x14ac:dyDescent="0.45">
      <c r="A9" s="1">
        <v>116</v>
      </c>
      <c r="B9" s="1" t="b">
        <f>IF(NOT(ISBLANK('Heat Index Table'!C8)),ROUND('CSV-Query'!B8,0)=ROUND('Heat Index Table'!C8,0),ISBLANK('CSV-Query'!B8))</f>
        <v>1</v>
      </c>
      <c r="C9" s="1" t="b">
        <f>IF(NOT(ISBLANK('Heat Index Table'!D8)),ROUND('CSV-Query'!C8,0)=ROUND('Heat Index Table'!D8,0),ISBLANK('CSV-Query'!C8))</f>
        <v>1</v>
      </c>
      <c r="D9" s="1" t="b">
        <f>IF(NOT(ISBLANK('Heat Index Table'!E8)),ROUND('CSV-Query'!D8,0)=ROUND('Heat Index Table'!E8,0),ISBLANK('CSV-Query'!D8))</f>
        <v>1</v>
      </c>
      <c r="E9" s="1" t="b">
        <f>IF(NOT(ISBLANK('Heat Index Table'!F8)),ROUND('CSV-Query'!E8,0)=ROUND('Heat Index Table'!F8,0),ISBLANK('CSV-Query'!E8))</f>
        <v>1</v>
      </c>
      <c r="F9" s="1" t="b">
        <f>IF(NOT(ISBLANK('Heat Index Table'!G8)),ROUND('CSV-Query'!F8,0)=ROUND('Heat Index Table'!G8,0),ISBLANK('CSV-Query'!F8))</f>
        <v>1</v>
      </c>
      <c r="G9" s="1" t="b">
        <f>IF(NOT(ISBLANK('Heat Index Table'!H8)),ROUND('CSV-Query'!G8,0)=ROUND('Heat Index Table'!H8,0),ISBLANK('CSV-Query'!G8))</f>
        <v>1</v>
      </c>
      <c r="H9" s="1" t="b">
        <f>IF(NOT(ISBLANK('Heat Index Table'!I8)),ROUND('CSV-Query'!H8,0)=ROUND('Heat Index Table'!I8,0),ISBLANK('CSV-Query'!H8))</f>
        <v>1</v>
      </c>
      <c r="I9" s="1" t="b">
        <f>IF(NOT(ISBLANK('Heat Index Table'!J8)),ROUND('CSV-Query'!I8,0)=ROUND('Heat Index Table'!J8,0),ISBLANK('CSV-Query'!I8))</f>
        <v>1</v>
      </c>
      <c r="J9" s="1" t="b">
        <f>IF(NOT(ISBLANK('Heat Index Table'!K8)),ROUND('CSV-Query'!J8,0)=ROUND('Heat Index Table'!K8,0),ISBLANK('CSV-Query'!J8))</f>
        <v>1</v>
      </c>
      <c r="K9" s="1" t="b">
        <f>IF(NOT(ISBLANK('Heat Index Table'!L8)),ROUND('CSV-Query'!K8,0)=ROUND('Heat Index Table'!L8,0),ISBLANK('CSV-Query'!K8))</f>
        <v>1</v>
      </c>
      <c r="L9" s="1" t="b">
        <f>IF(NOT(ISBLANK('Heat Index Table'!M8)),ROUND('CSV-Query'!L8,0)=ROUND('Heat Index Table'!M8,0),ISBLANK('CSV-Query'!L8))</f>
        <v>1</v>
      </c>
      <c r="M9" s="1" t="b">
        <f>IF(NOT(ISBLANK('Heat Index Table'!N8)),ROUND('CSV-Query'!M8,0)=ROUND('Heat Index Table'!N8,0),ISBLANK('CSV-Query'!M8))</f>
        <v>1</v>
      </c>
      <c r="N9" s="1" t="b">
        <f>IF(NOT(ISBLANK('Heat Index Table'!O8)),ROUND('CSV-Query'!N8,0)=ROUND('Heat Index Table'!O8,0),ISBLANK('CSV-Query'!N8))</f>
        <v>1</v>
      </c>
      <c r="O9" s="1" t="b">
        <f>IF(NOT(ISBLANK('Heat Index Table'!P8)),ROUND('CSV-Query'!O8,0)=ROUND('Heat Index Table'!P8,0),ISBLANK('CSV-Query'!O8))</f>
        <v>1</v>
      </c>
      <c r="P9" s="1" t="b">
        <f>IF(NOT(ISBLANK('Heat Index Table'!Q8)),ROUND('CSV-Query'!P8,0)=ROUND('Heat Index Table'!Q8,0),ISBLANK('CSV-Query'!P8))</f>
        <v>1</v>
      </c>
      <c r="Q9" s="1" t="b">
        <f>IF(NOT(ISBLANK('Heat Index Table'!R8)),ROUND('CSV-Query'!Q8,0)=ROUND('Heat Index Table'!R8,0),ISBLANK('CSV-Query'!Q8))</f>
        <v>1</v>
      </c>
      <c r="R9" s="1" t="b">
        <f>IF(NOT(ISBLANK('Heat Index Table'!S8)),ROUND('CSV-Query'!R8,0)=ROUND('Heat Index Table'!S8,0),ISBLANK('CSV-Query'!R8))</f>
        <v>1</v>
      </c>
      <c r="S9" s="1" t="b">
        <f>IF(NOT(ISBLANK('Heat Index Table'!T8)),ROUND('CSV-Query'!S8,0)=ROUND('Heat Index Table'!T8,0),ISBLANK('CSV-Query'!S8))</f>
        <v>1</v>
      </c>
      <c r="T9" s="1" t="b">
        <f>IF(NOT(ISBLANK('Heat Index Table'!U8)),ROUND('CSV-Query'!T8,0)=ROUND('Heat Index Table'!U8,0),ISBLANK('CSV-Query'!T8))</f>
        <v>1</v>
      </c>
      <c r="U9" s="1" t="b">
        <f>IF(NOT(ISBLANK('Heat Index Table'!V8)),ROUND('CSV-Query'!U8,0)=ROUND('Heat Index Table'!V8,0),ISBLANK('CSV-Query'!U8))</f>
        <v>1</v>
      </c>
      <c r="V9" s="1" t="b">
        <f>IF(NOT(ISBLANK('Heat Index Table'!W8)),ROUND('CSV-Query'!V8,0)=ROUND('Heat Index Table'!W8,0),ISBLANK('CSV-Query'!V8))</f>
        <v>1</v>
      </c>
      <c r="W9" s="1" t="b">
        <f>IF(NOT(ISBLANK('Heat Index Table'!X8)),ROUND('CSV-Query'!W8,0)=ROUND('Heat Index Table'!X8,0),ISBLANK('CSV-Query'!W8))</f>
        <v>1</v>
      </c>
      <c r="X9" s="1" t="b">
        <f>IF(NOT(ISBLANK('Heat Index Table'!Y8)),ROUND('CSV-Query'!X8,0)=ROUND('Heat Index Table'!Y8,0),ISBLANK('CSV-Query'!X8))</f>
        <v>1</v>
      </c>
      <c r="Y9" s="1" t="b">
        <f>IF(NOT(ISBLANK('Heat Index Table'!Z8)),ROUND('CSV-Query'!Y8,0)=ROUND('Heat Index Table'!Z8,0),ISBLANK('CSV-Query'!Y8))</f>
        <v>1</v>
      </c>
      <c r="Z9" s="1" t="b">
        <f>IF(NOT(ISBLANK('Heat Index Table'!AA8)),ROUND('CSV-Query'!Z8,0)=ROUND('Heat Index Table'!AA8,0),ISBLANK('CSV-Query'!Z8))</f>
        <v>1</v>
      </c>
      <c r="AA9" s="1" t="b">
        <f>IF(NOT(ISBLANK('Heat Index Table'!AB8)),ROUND('CSV-Query'!AA8,0)=ROUND('Heat Index Table'!AB8,0),ISBLANK('CSV-Query'!AA8))</f>
        <v>1</v>
      </c>
      <c r="AB9" s="1" t="b">
        <f>IF(NOT(ISBLANK('Heat Index Table'!AC8)),ROUND('CSV-Query'!AB8,0)=ROUND('Heat Index Table'!AC8,0),ISBLANK('CSV-Query'!AB8))</f>
        <v>1</v>
      </c>
      <c r="AC9" s="1" t="b">
        <f>IF(NOT(ISBLANK('Heat Index Table'!AD8)),ROUND('CSV-Query'!AC8,0)=ROUND('Heat Index Table'!AD8,0),ISBLANK('CSV-Query'!AC8))</f>
        <v>1</v>
      </c>
      <c r="AD9" s="1" t="b">
        <f>IF(NOT(ISBLANK('Heat Index Table'!AE8)),ROUND('CSV-Query'!AD8,0)=ROUND('Heat Index Table'!AE8,0),ISBLANK('CSV-Query'!AD8))</f>
        <v>1</v>
      </c>
      <c r="AE9" s="1" t="b">
        <f>IF(NOT(ISBLANK('Heat Index Table'!AF8)),ROUND('CSV-Query'!AE8,0)=ROUND('Heat Index Table'!AF8,0),ISBLANK('CSV-Query'!AE8))</f>
        <v>1</v>
      </c>
      <c r="AF9" s="1" t="b">
        <f>IF(NOT(ISBLANK('Heat Index Table'!AG8)),ROUND('CSV-Query'!AF8,0)=ROUND('Heat Index Table'!AG8,0),ISBLANK('CSV-Query'!AF8))</f>
        <v>1</v>
      </c>
      <c r="AG9" s="1" t="b">
        <f>IF(NOT(ISBLANK('Heat Index Table'!AH8)),ROUND('CSV-Query'!AG8,0)=ROUND('Heat Index Table'!AH8,0),ISBLANK('CSV-Query'!AG8))</f>
        <v>1</v>
      </c>
      <c r="AH9" s="1" t="b">
        <f>IF(NOT(ISBLANK('Heat Index Table'!AI8)),ROUND('CSV-Query'!AH8,0)=ROUND('Heat Index Table'!AI8,0),ISBLANK('CSV-Query'!AH8))</f>
        <v>1</v>
      </c>
      <c r="AI9" s="1" t="b">
        <f>IF(NOT(ISBLANK('Heat Index Table'!AJ8)),ROUND('CSV-Query'!AI8,0)=ROUND('Heat Index Table'!AJ8,0),ISBLANK('CSV-Query'!AI8))</f>
        <v>1</v>
      </c>
      <c r="AJ9" s="1" t="b">
        <f>IF(NOT(ISBLANK('Heat Index Table'!AK8)),ROUND('CSV-Query'!AJ8,0)=ROUND('Heat Index Table'!AK8,0),ISBLANK('CSV-Query'!AJ8))</f>
        <v>1</v>
      </c>
      <c r="AK9" s="1" t="b">
        <f>IF(NOT(ISBLANK('Heat Index Table'!AL8)),ROUND('CSV-Query'!AK8,0)=ROUND('Heat Index Table'!AL8,0),ISBLANK('CSV-Query'!AK8))</f>
        <v>1</v>
      </c>
      <c r="AL9" s="1" t="b">
        <f>IF(NOT(ISBLANK('Heat Index Table'!AM8)),ROUND('CSV-Query'!AL8,0)=ROUND('Heat Index Table'!AM8,0),ISBLANK('CSV-Query'!AL8))</f>
        <v>1</v>
      </c>
      <c r="AM9" s="1" t="b">
        <f>IF(NOT(ISBLANK('Heat Index Table'!AN8)),ROUND('CSV-Query'!AM8,0)=ROUND('Heat Index Table'!AN8,0),ISBLANK('CSV-Query'!AM8))</f>
        <v>1</v>
      </c>
      <c r="AN9" s="1" t="b">
        <f>IF(NOT(ISBLANK('Heat Index Table'!AO8)),ROUND('CSV-Query'!AN8,0)=ROUND('Heat Index Table'!AO8,0),ISBLANK('CSV-Query'!AN8))</f>
        <v>1</v>
      </c>
      <c r="AO9" s="1" t="b">
        <f>IF(NOT(ISBLANK('Heat Index Table'!AP8)),ROUND('CSV-Query'!AO8,0)=ROUND('Heat Index Table'!AP8,0),ISBLANK('CSV-Query'!AO8))</f>
        <v>1</v>
      </c>
      <c r="AP9" s="1" t="b">
        <f>IF(NOT(ISBLANK('Heat Index Table'!AQ8)),ROUND('CSV-Query'!AP8,0)=ROUND('Heat Index Table'!AQ8,0),ISBLANK('CSV-Query'!AP8))</f>
        <v>1</v>
      </c>
      <c r="AQ9" s="1" t="b">
        <f>IF(NOT(ISBLANK('Heat Index Table'!AR8)),ROUND('CSV-Query'!AQ8,0)=ROUND('Heat Index Table'!AR8,0),ISBLANK('CSV-Query'!AQ8))</f>
        <v>1</v>
      </c>
      <c r="AR9" s="1" t="b">
        <f>IF(NOT(ISBLANK('Heat Index Table'!AS8)),ROUND('CSV-Query'!AR8,0)=ROUND('Heat Index Table'!AS8,0),ISBLANK('CSV-Query'!AR8))</f>
        <v>1</v>
      </c>
      <c r="AS9" s="1" t="b">
        <f>IF(NOT(ISBLANK('Heat Index Table'!AT8)),ROUND('CSV-Query'!AS8,0)=ROUND('Heat Index Table'!AT8,0),ISBLANK('CSV-Query'!AS8))</f>
        <v>1</v>
      </c>
      <c r="AT9" s="1" t="b">
        <f>IF(NOT(ISBLANK('Heat Index Table'!AU8)),ROUND('CSV-Query'!AT8,0)=ROUND('Heat Index Table'!AU8,0),ISBLANK('CSV-Query'!AT8))</f>
        <v>1</v>
      </c>
      <c r="AU9" s="1" t="b">
        <f>IF(NOT(ISBLANK('Heat Index Table'!AV8)),ROUND('CSV-Query'!AU8,0)=ROUND('Heat Index Table'!AV8,0),ISBLANK('CSV-Query'!AU8))</f>
        <v>1</v>
      </c>
      <c r="AV9" s="1" t="b">
        <f>IF(NOT(ISBLANK('Heat Index Table'!AW8)),ROUND('CSV-Query'!AV8,0)=ROUND('Heat Index Table'!AW8,0),ISBLANK('CSV-Query'!AV8))</f>
        <v>1</v>
      </c>
      <c r="AW9" s="1" t="b">
        <f>IF(NOT(ISBLANK('Heat Index Table'!AX8)),ROUND('CSV-Query'!AW8,0)=ROUND('Heat Index Table'!AX8,0),ISBLANK('CSV-Query'!AW8))</f>
        <v>1</v>
      </c>
      <c r="AX9" s="1" t="b">
        <f>IF(NOT(ISBLANK('Heat Index Table'!AY8)),ROUND('CSV-Query'!AX8,0)=ROUND('Heat Index Table'!AY8,0),ISBLANK('CSV-Query'!AX8))</f>
        <v>1</v>
      </c>
    </row>
    <row r="10" spans="1:50" x14ac:dyDescent="0.45">
      <c r="A10" s="1">
        <v>114</v>
      </c>
      <c r="B10" s="1" t="b">
        <f>IF(NOT(ISBLANK('Heat Index Table'!C9)),ROUND('CSV-Query'!B9,0)=ROUND('Heat Index Table'!C9,0),ISBLANK('CSV-Query'!B9))</f>
        <v>1</v>
      </c>
      <c r="C10" s="1" t="b">
        <f>IF(NOT(ISBLANK('Heat Index Table'!D9)),ROUND('CSV-Query'!C9,0)=ROUND('Heat Index Table'!D9,0),ISBLANK('CSV-Query'!C9))</f>
        <v>1</v>
      </c>
      <c r="D10" s="1" t="b">
        <f>IF(NOT(ISBLANK('Heat Index Table'!E9)),ROUND('CSV-Query'!D9,0)=ROUND('Heat Index Table'!E9,0),ISBLANK('CSV-Query'!D9))</f>
        <v>1</v>
      </c>
      <c r="E10" s="1" t="b">
        <f>IF(NOT(ISBLANK('Heat Index Table'!F9)),ROUND('CSV-Query'!E9,0)=ROUND('Heat Index Table'!F9,0),ISBLANK('CSV-Query'!E9))</f>
        <v>1</v>
      </c>
      <c r="F10" s="1" t="b">
        <f>IF(NOT(ISBLANK('Heat Index Table'!G9)),ROUND('CSV-Query'!F9,0)=ROUND('Heat Index Table'!G9,0),ISBLANK('CSV-Query'!F9))</f>
        <v>1</v>
      </c>
      <c r="G10" s="1" t="b">
        <f>IF(NOT(ISBLANK('Heat Index Table'!H9)),ROUND('CSV-Query'!G9,0)=ROUND('Heat Index Table'!H9,0),ISBLANK('CSV-Query'!G9))</f>
        <v>1</v>
      </c>
      <c r="H10" s="1" t="b">
        <f>IF(NOT(ISBLANK('Heat Index Table'!I9)),ROUND('CSV-Query'!H9,0)=ROUND('Heat Index Table'!I9,0),ISBLANK('CSV-Query'!H9))</f>
        <v>1</v>
      </c>
      <c r="I10" s="1" t="b">
        <f>IF(NOT(ISBLANK('Heat Index Table'!J9)),ROUND('CSV-Query'!I9,0)=ROUND('Heat Index Table'!J9,0),ISBLANK('CSV-Query'!I9))</f>
        <v>1</v>
      </c>
      <c r="J10" s="1" t="b">
        <f>IF(NOT(ISBLANK('Heat Index Table'!K9)),ROUND('CSV-Query'!J9,0)=ROUND('Heat Index Table'!K9,0),ISBLANK('CSV-Query'!J9))</f>
        <v>1</v>
      </c>
      <c r="K10" s="1" t="b">
        <f>IF(NOT(ISBLANK('Heat Index Table'!L9)),ROUND('CSV-Query'!K9,0)=ROUND('Heat Index Table'!L9,0),ISBLANK('CSV-Query'!K9))</f>
        <v>1</v>
      </c>
      <c r="L10" s="1" t="b">
        <f>IF(NOT(ISBLANK('Heat Index Table'!M9)),ROUND('CSV-Query'!L9,0)=ROUND('Heat Index Table'!M9,0),ISBLANK('CSV-Query'!L9))</f>
        <v>1</v>
      </c>
      <c r="M10" s="1" t="b">
        <f>IF(NOT(ISBLANK('Heat Index Table'!N9)),ROUND('CSV-Query'!M9,0)=ROUND('Heat Index Table'!N9,0),ISBLANK('CSV-Query'!M9))</f>
        <v>1</v>
      </c>
      <c r="N10" s="1" t="b">
        <f>IF(NOT(ISBLANK('Heat Index Table'!O9)),ROUND('CSV-Query'!N9,0)=ROUND('Heat Index Table'!O9,0),ISBLANK('CSV-Query'!N9))</f>
        <v>1</v>
      </c>
      <c r="O10" s="1" t="b">
        <f>IF(NOT(ISBLANK('Heat Index Table'!P9)),ROUND('CSV-Query'!O9,0)=ROUND('Heat Index Table'!P9,0),ISBLANK('CSV-Query'!O9))</f>
        <v>1</v>
      </c>
      <c r="P10" s="1" t="b">
        <f>IF(NOT(ISBLANK('Heat Index Table'!Q9)),ROUND('CSV-Query'!P9,0)=ROUND('Heat Index Table'!Q9,0),ISBLANK('CSV-Query'!P9))</f>
        <v>1</v>
      </c>
      <c r="Q10" s="1" t="b">
        <f>IF(NOT(ISBLANK('Heat Index Table'!R9)),ROUND('CSV-Query'!Q9,0)=ROUND('Heat Index Table'!R9,0),ISBLANK('CSV-Query'!Q9))</f>
        <v>1</v>
      </c>
      <c r="R10" s="1" t="b">
        <f>IF(NOT(ISBLANK('Heat Index Table'!S9)),ROUND('CSV-Query'!R9,0)=ROUND('Heat Index Table'!S9,0),ISBLANK('CSV-Query'!R9))</f>
        <v>1</v>
      </c>
      <c r="S10" s="1" t="b">
        <f>IF(NOT(ISBLANK('Heat Index Table'!T9)),ROUND('CSV-Query'!S9,0)=ROUND('Heat Index Table'!T9,0),ISBLANK('CSV-Query'!S9))</f>
        <v>1</v>
      </c>
      <c r="T10" s="1" t="b">
        <f>IF(NOT(ISBLANK('Heat Index Table'!U9)),ROUND('CSV-Query'!T9,0)=ROUND('Heat Index Table'!U9,0),ISBLANK('CSV-Query'!T9))</f>
        <v>1</v>
      </c>
      <c r="U10" s="1" t="b">
        <f>IF(NOT(ISBLANK('Heat Index Table'!V9)),ROUND('CSV-Query'!U9,0)=ROUND('Heat Index Table'!V9,0),ISBLANK('CSV-Query'!U9))</f>
        <v>1</v>
      </c>
      <c r="V10" s="1" t="b">
        <f>IF(NOT(ISBLANK('Heat Index Table'!W9)),ROUND('CSV-Query'!V9,0)=ROUND('Heat Index Table'!W9,0),ISBLANK('CSV-Query'!V9))</f>
        <v>1</v>
      </c>
      <c r="W10" s="1" t="b">
        <f>IF(NOT(ISBLANK('Heat Index Table'!X9)),ROUND('CSV-Query'!W9,0)=ROUND('Heat Index Table'!X9,0),ISBLANK('CSV-Query'!W9))</f>
        <v>1</v>
      </c>
      <c r="X10" s="1" t="b">
        <f>IF(NOT(ISBLANK('Heat Index Table'!Y9)),ROUND('CSV-Query'!X9,0)=ROUND('Heat Index Table'!Y9,0),ISBLANK('CSV-Query'!X9))</f>
        <v>1</v>
      </c>
      <c r="Y10" s="1" t="b">
        <f>IF(NOT(ISBLANK('Heat Index Table'!Z9)),ROUND('CSV-Query'!Y9,0)=ROUND('Heat Index Table'!Z9,0),ISBLANK('CSV-Query'!Y9))</f>
        <v>1</v>
      </c>
      <c r="Z10" s="1" t="b">
        <f>IF(NOT(ISBLANK('Heat Index Table'!AA9)),ROUND('CSV-Query'!Z9,0)=ROUND('Heat Index Table'!AA9,0),ISBLANK('CSV-Query'!Z9))</f>
        <v>1</v>
      </c>
      <c r="AA10" s="1" t="b">
        <f>IF(NOT(ISBLANK('Heat Index Table'!AB9)),ROUND('CSV-Query'!AA9,0)=ROUND('Heat Index Table'!AB9,0),ISBLANK('CSV-Query'!AA9))</f>
        <v>1</v>
      </c>
      <c r="AB10" s="1" t="b">
        <f>IF(NOT(ISBLANK('Heat Index Table'!AC9)),ROUND('CSV-Query'!AB9,0)=ROUND('Heat Index Table'!AC9,0),ISBLANK('CSV-Query'!AB9))</f>
        <v>1</v>
      </c>
      <c r="AC10" s="1" t="b">
        <f>IF(NOT(ISBLANK('Heat Index Table'!AD9)),ROUND('CSV-Query'!AC9,0)=ROUND('Heat Index Table'!AD9,0),ISBLANK('CSV-Query'!AC9))</f>
        <v>1</v>
      </c>
      <c r="AD10" s="1" t="b">
        <f>IF(NOT(ISBLANK('Heat Index Table'!AE9)),ROUND('CSV-Query'!AD9,0)=ROUND('Heat Index Table'!AE9,0),ISBLANK('CSV-Query'!AD9))</f>
        <v>1</v>
      </c>
      <c r="AE10" s="1" t="b">
        <f>IF(NOT(ISBLANK('Heat Index Table'!AF9)),ROUND('CSV-Query'!AE9,0)=ROUND('Heat Index Table'!AF9,0),ISBLANK('CSV-Query'!AE9))</f>
        <v>1</v>
      </c>
      <c r="AF10" s="1" t="b">
        <f>IF(NOT(ISBLANK('Heat Index Table'!AG9)),ROUND('CSV-Query'!AF9,0)=ROUND('Heat Index Table'!AG9,0),ISBLANK('CSV-Query'!AF9))</f>
        <v>1</v>
      </c>
      <c r="AG10" s="1" t="b">
        <f>IF(NOT(ISBLANK('Heat Index Table'!AH9)),ROUND('CSV-Query'!AG9,0)=ROUND('Heat Index Table'!AH9,0),ISBLANK('CSV-Query'!AG9))</f>
        <v>1</v>
      </c>
      <c r="AH10" s="1" t="b">
        <f>IF(NOT(ISBLANK('Heat Index Table'!AI9)),ROUND('CSV-Query'!AH9,0)=ROUND('Heat Index Table'!AI9,0),ISBLANK('CSV-Query'!AH9))</f>
        <v>1</v>
      </c>
      <c r="AI10" s="1" t="b">
        <f>IF(NOT(ISBLANK('Heat Index Table'!AJ9)),ROUND('CSV-Query'!AI9,0)=ROUND('Heat Index Table'!AJ9,0),ISBLANK('CSV-Query'!AI9))</f>
        <v>1</v>
      </c>
      <c r="AJ10" s="1" t="b">
        <f>IF(NOT(ISBLANK('Heat Index Table'!AK9)),ROUND('CSV-Query'!AJ9,0)=ROUND('Heat Index Table'!AK9,0),ISBLANK('CSV-Query'!AJ9))</f>
        <v>1</v>
      </c>
      <c r="AK10" s="1" t="b">
        <f>IF(NOT(ISBLANK('Heat Index Table'!AL9)),ROUND('CSV-Query'!AK9,0)=ROUND('Heat Index Table'!AL9,0),ISBLANK('CSV-Query'!AK9))</f>
        <v>1</v>
      </c>
      <c r="AL10" s="1" t="b">
        <f>IF(NOT(ISBLANK('Heat Index Table'!AM9)),ROUND('CSV-Query'!AL9,0)=ROUND('Heat Index Table'!AM9,0),ISBLANK('CSV-Query'!AL9))</f>
        <v>1</v>
      </c>
      <c r="AM10" s="1" t="b">
        <f>IF(NOT(ISBLANK('Heat Index Table'!AN9)),ROUND('CSV-Query'!AM9,0)=ROUND('Heat Index Table'!AN9,0),ISBLANK('CSV-Query'!AM9))</f>
        <v>1</v>
      </c>
      <c r="AN10" s="1" t="b">
        <f>IF(NOT(ISBLANK('Heat Index Table'!AO9)),ROUND('CSV-Query'!AN9,0)=ROUND('Heat Index Table'!AO9,0),ISBLANK('CSV-Query'!AN9))</f>
        <v>1</v>
      </c>
      <c r="AO10" s="1" t="b">
        <f>IF(NOT(ISBLANK('Heat Index Table'!AP9)),ROUND('CSV-Query'!AO9,0)=ROUND('Heat Index Table'!AP9,0),ISBLANK('CSV-Query'!AO9))</f>
        <v>1</v>
      </c>
      <c r="AP10" s="1" t="b">
        <f>IF(NOT(ISBLANK('Heat Index Table'!AQ9)),ROUND('CSV-Query'!AP9,0)=ROUND('Heat Index Table'!AQ9,0),ISBLANK('CSV-Query'!AP9))</f>
        <v>1</v>
      </c>
      <c r="AQ10" s="1" t="b">
        <f>IF(NOT(ISBLANK('Heat Index Table'!AR9)),ROUND('CSV-Query'!AQ9,0)=ROUND('Heat Index Table'!AR9,0),ISBLANK('CSV-Query'!AQ9))</f>
        <v>1</v>
      </c>
      <c r="AR10" s="1" t="b">
        <f>IF(NOT(ISBLANK('Heat Index Table'!AS9)),ROUND('CSV-Query'!AR9,0)=ROUND('Heat Index Table'!AS9,0),ISBLANK('CSV-Query'!AR9))</f>
        <v>1</v>
      </c>
      <c r="AS10" s="1" t="b">
        <f>IF(NOT(ISBLANK('Heat Index Table'!AT9)),ROUND('CSV-Query'!AS9,0)=ROUND('Heat Index Table'!AT9,0),ISBLANK('CSV-Query'!AS9))</f>
        <v>1</v>
      </c>
      <c r="AT10" s="1" t="b">
        <f>IF(NOT(ISBLANK('Heat Index Table'!AU9)),ROUND('CSV-Query'!AT9,0)=ROUND('Heat Index Table'!AU9,0),ISBLANK('CSV-Query'!AT9))</f>
        <v>1</v>
      </c>
      <c r="AU10" s="1" t="b">
        <f>IF(NOT(ISBLANK('Heat Index Table'!AV9)),ROUND('CSV-Query'!AU9,0)=ROUND('Heat Index Table'!AV9,0),ISBLANK('CSV-Query'!AU9))</f>
        <v>1</v>
      </c>
      <c r="AV10" s="1" t="b">
        <f>IF(NOT(ISBLANK('Heat Index Table'!AW9)),ROUND('CSV-Query'!AV9,0)=ROUND('Heat Index Table'!AW9,0),ISBLANK('CSV-Query'!AV9))</f>
        <v>1</v>
      </c>
      <c r="AW10" s="1" t="b">
        <f>IF(NOT(ISBLANK('Heat Index Table'!AX9)),ROUND('CSV-Query'!AW9,0)=ROUND('Heat Index Table'!AX9,0),ISBLANK('CSV-Query'!AW9))</f>
        <v>1</v>
      </c>
      <c r="AX10" s="1" t="b">
        <f>IF(NOT(ISBLANK('Heat Index Table'!AY9)),ROUND('CSV-Query'!AX9,0)=ROUND('Heat Index Table'!AY9,0),ISBLANK('CSV-Query'!AX9))</f>
        <v>1</v>
      </c>
    </row>
    <row r="11" spans="1:50" x14ac:dyDescent="0.45">
      <c r="A11" s="1">
        <v>112</v>
      </c>
      <c r="B11" s="1" t="b">
        <f>IF(NOT(ISBLANK('Heat Index Table'!C10)),ROUND('CSV-Query'!B10,0)=ROUND('Heat Index Table'!C10,0),ISBLANK('CSV-Query'!B10))</f>
        <v>1</v>
      </c>
      <c r="C11" s="1" t="b">
        <f>IF(NOT(ISBLANK('Heat Index Table'!D10)),ROUND('CSV-Query'!C10,0)=ROUND('Heat Index Table'!D10,0),ISBLANK('CSV-Query'!C10))</f>
        <v>1</v>
      </c>
      <c r="D11" s="1" t="b">
        <f>IF(NOT(ISBLANK('Heat Index Table'!E10)),ROUND('CSV-Query'!D10,0)=ROUND('Heat Index Table'!E10,0),ISBLANK('CSV-Query'!D10))</f>
        <v>1</v>
      </c>
      <c r="E11" s="1" t="b">
        <f>IF(NOT(ISBLANK('Heat Index Table'!F10)),ROUND('CSV-Query'!E10,0)=ROUND('Heat Index Table'!F10,0),ISBLANK('CSV-Query'!E10))</f>
        <v>1</v>
      </c>
      <c r="F11" s="1" t="b">
        <f>IF(NOT(ISBLANK('Heat Index Table'!G10)),ROUND('CSV-Query'!F10,0)=ROUND('Heat Index Table'!G10,0),ISBLANK('CSV-Query'!F10))</f>
        <v>1</v>
      </c>
      <c r="G11" s="1" t="b">
        <f>IF(NOT(ISBLANK('Heat Index Table'!H10)),ROUND('CSV-Query'!G10,0)=ROUND('Heat Index Table'!H10,0),ISBLANK('CSV-Query'!G10))</f>
        <v>1</v>
      </c>
      <c r="H11" s="1" t="b">
        <f>IF(NOT(ISBLANK('Heat Index Table'!I10)),ROUND('CSV-Query'!H10,0)=ROUND('Heat Index Table'!I10,0),ISBLANK('CSV-Query'!H10))</f>
        <v>1</v>
      </c>
      <c r="I11" s="1" t="b">
        <f>IF(NOT(ISBLANK('Heat Index Table'!J10)),ROUND('CSV-Query'!I10,0)=ROUND('Heat Index Table'!J10,0),ISBLANK('CSV-Query'!I10))</f>
        <v>1</v>
      </c>
      <c r="J11" s="1" t="b">
        <f>IF(NOT(ISBLANK('Heat Index Table'!K10)),ROUND('CSV-Query'!J10,0)=ROUND('Heat Index Table'!K10,0),ISBLANK('CSV-Query'!J10))</f>
        <v>1</v>
      </c>
      <c r="K11" s="1" t="b">
        <f>IF(NOT(ISBLANK('Heat Index Table'!L10)),ROUND('CSV-Query'!K10,0)=ROUND('Heat Index Table'!L10,0),ISBLANK('CSV-Query'!K10))</f>
        <v>1</v>
      </c>
      <c r="L11" s="1" t="b">
        <f>IF(NOT(ISBLANK('Heat Index Table'!M10)),ROUND('CSV-Query'!L10,0)=ROUND('Heat Index Table'!M10,0),ISBLANK('CSV-Query'!L10))</f>
        <v>1</v>
      </c>
      <c r="M11" s="1" t="b">
        <f>IF(NOT(ISBLANK('Heat Index Table'!N10)),ROUND('CSV-Query'!M10,0)=ROUND('Heat Index Table'!N10,0),ISBLANK('CSV-Query'!M10))</f>
        <v>1</v>
      </c>
      <c r="N11" s="1" t="b">
        <f>IF(NOT(ISBLANK('Heat Index Table'!O10)),ROUND('CSV-Query'!N10,0)=ROUND('Heat Index Table'!O10,0),ISBLANK('CSV-Query'!N10))</f>
        <v>1</v>
      </c>
      <c r="O11" s="1" t="b">
        <f>IF(NOT(ISBLANK('Heat Index Table'!P10)),ROUND('CSV-Query'!O10,0)=ROUND('Heat Index Table'!P10,0),ISBLANK('CSV-Query'!O10))</f>
        <v>1</v>
      </c>
      <c r="P11" s="1" t="b">
        <f>IF(NOT(ISBLANK('Heat Index Table'!Q10)),ROUND('CSV-Query'!P10,0)=ROUND('Heat Index Table'!Q10,0),ISBLANK('CSV-Query'!P10))</f>
        <v>1</v>
      </c>
      <c r="Q11" s="1" t="b">
        <f>IF(NOT(ISBLANK('Heat Index Table'!R10)),ROUND('CSV-Query'!Q10,0)=ROUND('Heat Index Table'!R10,0),ISBLANK('CSV-Query'!Q10))</f>
        <v>1</v>
      </c>
      <c r="R11" s="1" t="b">
        <f>IF(NOT(ISBLANK('Heat Index Table'!S10)),ROUND('CSV-Query'!R10,0)=ROUND('Heat Index Table'!S10,0),ISBLANK('CSV-Query'!R10))</f>
        <v>1</v>
      </c>
      <c r="S11" s="1" t="b">
        <f>IF(NOT(ISBLANK('Heat Index Table'!T10)),ROUND('CSV-Query'!S10,0)=ROUND('Heat Index Table'!T10,0),ISBLANK('CSV-Query'!S10))</f>
        <v>1</v>
      </c>
      <c r="T11" s="1" t="b">
        <f>IF(NOT(ISBLANK('Heat Index Table'!U10)),ROUND('CSV-Query'!T10,0)=ROUND('Heat Index Table'!U10,0),ISBLANK('CSV-Query'!T10))</f>
        <v>1</v>
      </c>
      <c r="U11" s="1" t="b">
        <f>IF(NOT(ISBLANK('Heat Index Table'!V10)),ROUND('CSV-Query'!U10,0)=ROUND('Heat Index Table'!V10,0),ISBLANK('CSV-Query'!U10))</f>
        <v>1</v>
      </c>
      <c r="V11" s="1" t="b">
        <f>IF(NOT(ISBLANK('Heat Index Table'!W10)),ROUND('CSV-Query'!V10,0)=ROUND('Heat Index Table'!W10,0),ISBLANK('CSV-Query'!V10))</f>
        <v>1</v>
      </c>
      <c r="W11" s="1" t="b">
        <f>IF(NOT(ISBLANK('Heat Index Table'!X10)),ROUND('CSV-Query'!W10,0)=ROUND('Heat Index Table'!X10,0),ISBLANK('CSV-Query'!W10))</f>
        <v>1</v>
      </c>
      <c r="X11" s="1" t="b">
        <f>IF(NOT(ISBLANK('Heat Index Table'!Y10)),ROUND('CSV-Query'!X10,0)=ROUND('Heat Index Table'!Y10,0),ISBLANK('CSV-Query'!X10))</f>
        <v>1</v>
      </c>
      <c r="Y11" s="1" t="b">
        <f>IF(NOT(ISBLANK('Heat Index Table'!Z10)),ROUND('CSV-Query'!Y10,0)=ROUND('Heat Index Table'!Z10,0),ISBLANK('CSV-Query'!Y10))</f>
        <v>1</v>
      </c>
      <c r="Z11" s="1" t="b">
        <f>IF(NOT(ISBLANK('Heat Index Table'!AA10)),ROUND('CSV-Query'!Z10,0)=ROUND('Heat Index Table'!AA10,0),ISBLANK('CSV-Query'!Z10))</f>
        <v>1</v>
      </c>
      <c r="AA11" s="1" t="b">
        <f>IF(NOT(ISBLANK('Heat Index Table'!AB10)),ROUND('CSV-Query'!AA10,0)=ROUND('Heat Index Table'!AB10,0),ISBLANK('CSV-Query'!AA10))</f>
        <v>1</v>
      </c>
      <c r="AB11" s="1" t="b">
        <f>IF(NOT(ISBLANK('Heat Index Table'!AC10)),ROUND('CSV-Query'!AB10,0)=ROUND('Heat Index Table'!AC10,0),ISBLANK('CSV-Query'!AB10))</f>
        <v>1</v>
      </c>
      <c r="AC11" s="1" t="b">
        <f>IF(NOT(ISBLANK('Heat Index Table'!AD10)),ROUND('CSV-Query'!AC10,0)=ROUND('Heat Index Table'!AD10,0),ISBLANK('CSV-Query'!AC10))</f>
        <v>1</v>
      </c>
      <c r="AD11" s="1" t="b">
        <f>IF(NOT(ISBLANK('Heat Index Table'!AE10)),ROUND('CSV-Query'!AD10,0)=ROUND('Heat Index Table'!AE10,0),ISBLANK('CSV-Query'!AD10))</f>
        <v>1</v>
      </c>
      <c r="AE11" s="1" t="b">
        <f>IF(NOT(ISBLANK('Heat Index Table'!AF10)),ROUND('CSV-Query'!AE10,0)=ROUND('Heat Index Table'!AF10,0),ISBLANK('CSV-Query'!AE10))</f>
        <v>1</v>
      </c>
      <c r="AF11" s="1" t="b">
        <f>IF(NOT(ISBLANK('Heat Index Table'!AG10)),ROUND('CSV-Query'!AF10,0)=ROUND('Heat Index Table'!AG10,0),ISBLANK('CSV-Query'!AF10))</f>
        <v>1</v>
      </c>
      <c r="AG11" s="1" t="b">
        <f>IF(NOT(ISBLANK('Heat Index Table'!AH10)),ROUND('CSV-Query'!AG10,0)=ROUND('Heat Index Table'!AH10,0),ISBLANK('CSV-Query'!AG10))</f>
        <v>1</v>
      </c>
      <c r="AH11" s="1" t="b">
        <f>IF(NOT(ISBLANK('Heat Index Table'!AI10)),ROUND('CSV-Query'!AH10,0)=ROUND('Heat Index Table'!AI10,0),ISBLANK('CSV-Query'!AH10))</f>
        <v>1</v>
      </c>
      <c r="AI11" s="1" t="b">
        <f>IF(NOT(ISBLANK('Heat Index Table'!AJ10)),ROUND('CSV-Query'!AI10,0)=ROUND('Heat Index Table'!AJ10,0),ISBLANK('CSV-Query'!AI10))</f>
        <v>1</v>
      </c>
      <c r="AJ11" s="1" t="b">
        <f>IF(NOT(ISBLANK('Heat Index Table'!AK10)),ROUND('CSV-Query'!AJ10,0)=ROUND('Heat Index Table'!AK10,0),ISBLANK('CSV-Query'!AJ10))</f>
        <v>1</v>
      </c>
      <c r="AK11" s="1" t="b">
        <f>IF(NOT(ISBLANK('Heat Index Table'!AL10)),ROUND('CSV-Query'!AK10,0)=ROUND('Heat Index Table'!AL10,0),ISBLANK('CSV-Query'!AK10))</f>
        <v>1</v>
      </c>
      <c r="AL11" s="1" t="b">
        <f>IF(NOT(ISBLANK('Heat Index Table'!AM10)),ROUND('CSV-Query'!AL10,0)=ROUND('Heat Index Table'!AM10,0),ISBLANK('CSV-Query'!AL10))</f>
        <v>1</v>
      </c>
      <c r="AM11" s="1" t="b">
        <f>IF(NOT(ISBLANK('Heat Index Table'!AN10)),ROUND('CSV-Query'!AM10,0)=ROUND('Heat Index Table'!AN10,0),ISBLANK('CSV-Query'!AM10))</f>
        <v>1</v>
      </c>
      <c r="AN11" s="1" t="b">
        <f>IF(NOT(ISBLANK('Heat Index Table'!AO10)),ROUND('CSV-Query'!AN10,0)=ROUND('Heat Index Table'!AO10,0),ISBLANK('CSV-Query'!AN10))</f>
        <v>1</v>
      </c>
      <c r="AO11" s="1" t="b">
        <f>IF(NOT(ISBLANK('Heat Index Table'!AP10)),ROUND('CSV-Query'!AO10,0)=ROUND('Heat Index Table'!AP10,0),ISBLANK('CSV-Query'!AO10))</f>
        <v>1</v>
      </c>
      <c r="AP11" s="1" t="b">
        <f>IF(NOT(ISBLANK('Heat Index Table'!AQ10)),ROUND('CSV-Query'!AP10,0)=ROUND('Heat Index Table'!AQ10,0),ISBLANK('CSV-Query'!AP10))</f>
        <v>1</v>
      </c>
      <c r="AQ11" s="1" t="b">
        <f>IF(NOT(ISBLANK('Heat Index Table'!AR10)),ROUND('CSV-Query'!AQ10,0)=ROUND('Heat Index Table'!AR10,0),ISBLANK('CSV-Query'!AQ10))</f>
        <v>1</v>
      </c>
      <c r="AR11" s="1" t="b">
        <f>IF(NOT(ISBLANK('Heat Index Table'!AS10)),ROUND('CSV-Query'!AR10,0)=ROUND('Heat Index Table'!AS10,0),ISBLANK('CSV-Query'!AR10))</f>
        <v>1</v>
      </c>
      <c r="AS11" s="1" t="b">
        <f>IF(NOT(ISBLANK('Heat Index Table'!AT10)),ROUND('CSV-Query'!AS10,0)=ROUND('Heat Index Table'!AT10,0),ISBLANK('CSV-Query'!AS10))</f>
        <v>1</v>
      </c>
      <c r="AT11" s="1" t="b">
        <f>IF(NOT(ISBLANK('Heat Index Table'!AU10)),ROUND('CSV-Query'!AT10,0)=ROUND('Heat Index Table'!AU10,0),ISBLANK('CSV-Query'!AT10))</f>
        <v>1</v>
      </c>
      <c r="AU11" s="1" t="b">
        <f>IF(NOT(ISBLANK('Heat Index Table'!AV10)),ROUND('CSV-Query'!AU10,0)=ROUND('Heat Index Table'!AV10,0),ISBLANK('CSV-Query'!AU10))</f>
        <v>1</v>
      </c>
      <c r="AV11" s="1" t="b">
        <f>IF(NOT(ISBLANK('Heat Index Table'!AW10)),ROUND('CSV-Query'!AV10,0)=ROUND('Heat Index Table'!AW10,0),ISBLANK('CSV-Query'!AV10))</f>
        <v>1</v>
      </c>
      <c r="AW11" s="1" t="b">
        <f>IF(NOT(ISBLANK('Heat Index Table'!AX10)),ROUND('CSV-Query'!AW10,0)=ROUND('Heat Index Table'!AX10,0),ISBLANK('CSV-Query'!AW10))</f>
        <v>1</v>
      </c>
      <c r="AX11" s="1" t="b">
        <f>IF(NOT(ISBLANK('Heat Index Table'!AY10)),ROUND('CSV-Query'!AX10,0)=ROUND('Heat Index Table'!AY10,0),ISBLANK('CSV-Query'!AX10))</f>
        <v>1</v>
      </c>
    </row>
    <row r="12" spans="1:50" x14ac:dyDescent="0.45">
      <c r="A12" s="1">
        <v>110</v>
      </c>
      <c r="B12" s="1" t="b">
        <f>IF(NOT(ISBLANK('Heat Index Table'!C11)),ROUND('CSV-Query'!B11,0)=ROUND('Heat Index Table'!C11,0),ISBLANK('CSV-Query'!B11))</f>
        <v>1</v>
      </c>
      <c r="C12" s="1" t="b">
        <f>IF(NOT(ISBLANK('Heat Index Table'!D11)),ROUND('CSV-Query'!C11,0)=ROUND('Heat Index Table'!D11,0),ISBLANK('CSV-Query'!C11))</f>
        <v>1</v>
      </c>
      <c r="D12" s="1" t="b">
        <f>IF(NOT(ISBLANK('Heat Index Table'!E11)),ROUND('CSV-Query'!D11,0)=ROUND('Heat Index Table'!E11,0),ISBLANK('CSV-Query'!D11))</f>
        <v>1</v>
      </c>
      <c r="E12" s="1" t="b">
        <f>IF(NOT(ISBLANK('Heat Index Table'!F11)),ROUND('CSV-Query'!E11,0)=ROUND('Heat Index Table'!F11,0),ISBLANK('CSV-Query'!E11))</f>
        <v>1</v>
      </c>
      <c r="F12" s="1" t="b">
        <f>IF(NOT(ISBLANK('Heat Index Table'!G11)),ROUND('CSV-Query'!F11,0)=ROUND('Heat Index Table'!G11,0),ISBLANK('CSV-Query'!F11))</f>
        <v>1</v>
      </c>
      <c r="G12" s="1" t="b">
        <f>IF(NOT(ISBLANK('Heat Index Table'!H11)),ROUND('CSV-Query'!G11,0)=ROUND('Heat Index Table'!H11,0),ISBLANK('CSV-Query'!G11))</f>
        <v>1</v>
      </c>
      <c r="H12" s="1" t="b">
        <f>IF(NOT(ISBLANK('Heat Index Table'!I11)),ROUND('CSV-Query'!H11,0)=ROUND('Heat Index Table'!I11,0),ISBLANK('CSV-Query'!H11))</f>
        <v>1</v>
      </c>
      <c r="I12" s="1" t="b">
        <f>IF(NOT(ISBLANK('Heat Index Table'!J11)),ROUND('CSV-Query'!I11,0)=ROUND('Heat Index Table'!J11,0),ISBLANK('CSV-Query'!I11))</f>
        <v>1</v>
      </c>
      <c r="J12" s="1" t="b">
        <f>IF(NOT(ISBLANK('Heat Index Table'!K11)),ROUND('CSV-Query'!J11,0)=ROUND('Heat Index Table'!K11,0),ISBLANK('CSV-Query'!J11))</f>
        <v>1</v>
      </c>
      <c r="K12" s="1" t="b">
        <f>IF(NOT(ISBLANK('Heat Index Table'!L11)),ROUND('CSV-Query'!K11,0)=ROUND('Heat Index Table'!L11,0),ISBLANK('CSV-Query'!K11))</f>
        <v>1</v>
      </c>
      <c r="L12" s="1" t="b">
        <f>IF(NOT(ISBLANK('Heat Index Table'!M11)),ROUND('CSV-Query'!L11,0)=ROUND('Heat Index Table'!M11,0),ISBLANK('CSV-Query'!L11))</f>
        <v>1</v>
      </c>
      <c r="M12" s="1" t="b">
        <f>IF(NOT(ISBLANK('Heat Index Table'!N11)),ROUND('CSV-Query'!M11,0)=ROUND('Heat Index Table'!N11,0),ISBLANK('CSV-Query'!M11))</f>
        <v>1</v>
      </c>
      <c r="N12" s="1" t="b">
        <f>IF(NOT(ISBLANK('Heat Index Table'!O11)),ROUND('CSV-Query'!N11,0)=ROUND('Heat Index Table'!O11,0),ISBLANK('CSV-Query'!N11))</f>
        <v>1</v>
      </c>
      <c r="O12" s="1" t="b">
        <f>IF(NOT(ISBLANK('Heat Index Table'!P11)),ROUND('CSV-Query'!O11,0)=ROUND('Heat Index Table'!P11,0),ISBLANK('CSV-Query'!O11))</f>
        <v>1</v>
      </c>
      <c r="P12" s="1" t="b">
        <f>IF(NOT(ISBLANK('Heat Index Table'!Q11)),ROUND('CSV-Query'!P11,0)=ROUND('Heat Index Table'!Q11,0),ISBLANK('CSV-Query'!P11))</f>
        <v>1</v>
      </c>
      <c r="Q12" s="1" t="b">
        <f>IF(NOT(ISBLANK('Heat Index Table'!R11)),ROUND('CSV-Query'!Q11,0)=ROUND('Heat Index Table'!R11,0),ISBLANK('CSV-Query'!Q11))</f>
        <v>1</v>
      </c>
      <c r="R12" s="1" t="b">
        <f>IF(NOT(ISBLANK('Heat Index Table'!S11)),ROUND('CSV-Query'!R11,0)=ROUND('Heat Index Table'!S11,0),ISBLANK('CSV-Query'!R11))</f>
        <v>1</v>
      </c>
      <c r="S12" s="1" t="b">
        <f>IF(NOT(ISBLANK('Heat Index Table'!T11)),ROUND('CSV-Query'!S11,0)=ROUND('Heat Index Table'!T11,0),ISBLANK('CSV-Query'!S11))</f>
        <v>1</v>
      </c>
      <c r="T12" s="1" t="b">
        <f>IF(NOT(ISBLANK('Heat Index Table'!U11)),ROUND('CSV-Query'!T11,0)=ROUND('Heat Index Table'!U11,0),ISBLANK('CSV-Query'!T11))</f>
        <v>1</v>
      </c>
      <c r="U12" s="1" t="b">
        <f>IF(NOT(ISBLANK('Heat Index Table'!V11)),ROUND('CSV-Query'!U11,0)=ROUND('Heat Index Table'!V11,0),ISBLANK('CSV-Query'!U11))</f>
        <v>1</v>
      </c>
      <c r="V12" s="1" t="b">
        <f>IF(NOT(ISBLANK('Heat Index Table'!W11)),ROUND('CSV-Query'!V11,0)=ROUND('Heat Index Table'!W11,0),ISBLANK('CSV-Query'!V11))</f>
        <v>1</v>
      </c>
      <c r="W12" s="1" t="b">
        <f>IF(NOT(ISBLANK('Heat Index Table'!X11)),ROUND('CSV-Query'!W11,0)=ROUND('Heat Index Table'!X11,0),ISBLANK('CSV-Query'!W11))</f>
        <v>1</v>
      </c>
      <c r="X12" s="1" t="b">
        <f>IF(NOT(ISBLANK('Heat Index Table'!Y11)),ROUND('CSV-Query'!X11,0)=ROUND('Heat Index Table'!Y11,0),ISBLANK('CSV-Query'!X11))</f>
        <v>1</v>
      </c>
      <c r="Y12" s="1" t="b">
        <f>IF(NOT(ISBLANK('Heat Index Table'!Z11)),ROUND('CSV-Query'!Y11,0)=ROUND('Heat Index Table'!Z11,0),ISBLANK('CSV-Query'!Y11))</f>
        <v>1</v>
      </c>
      <c r="Z12" s="1" t="b">
        <f>IF(NOT(ISBLANK('Heat Index Table'!AA11)),ROUND('CSV-Query'!Z11,0)=ROUND('Heat Index Table'!AA11,0),ISBLANK('CSV-Query'!Z11))</f>
        <v>1</v>
      </c>
      <c r="AA12" s="1" t="b">
        <f>IF(NOT(ISBLANK('Heat Index Table'!AB11)),ROUND('CSV-Query'!AA11,0)=ROUND('Heat Index Table'!AB11,0),ISBLANK('CSV-Query'!AA11))</f>
        <v>1</v>
      </c>
      <c r="AB12" s="1" t="b">
        <f>IF(NOT(ISBLANK('Heat Index Table'!AC11)),ROUND('CSV-Query'!AB11,0)=ROUND('Heat Index Table'!AC11,0),ISBLANK('CSV-Query'!AB11))</f>
        <v>1</v>
      </c>
      <c r="AC12" s="1" t="b">
        <f>IF(NOT(ISBLANK('Heat Index Table'!AD11)),ROUND('CSV-Query'!AC11,0)=ROUND('Heat Index Table'!AD11,0),ISBLANK('CSV-Query'!AC11))</f>
        <v>1</v>
      </c>
      <c r="AD12" s="1" t="b">
        <f>IF(NOT(ISBLANK('Heat Index Table'!AE11)),ROUND('CSV-Query'!AD11,0)=ROUND('Heat Index Table'!AE11,0),ISBLANK('CSV-Query'!AD11))</f>
        <v>1</v>
      </c>
      <c r="AE12" s="1" t="b">
        <f>IF(NOT(ISBLANK('Heat Index Table'!AF11)),ROUND('CSV-Query'!AE11,0)=ROUND('Heat Index Table'!AF11,0),ISBLANK('CSV-Query'!AE11))</f>
        <v>1</v>
      </c>
      <c r="AF12" s="1" t="b">
        <f>IF(NOT(ISBLANK('Heat Index Table'!AG11)),ROUND('CSV-Query'!AF11,0)=ROUND('Heat Index Table'!AG11,0),ISBLANK('CSV-Query'!AF11))</f>
        <v>1</v>
      </c>
      <c r="AG12" s="1" t="b">
        <f>IF(NOT(ISBLANK('Heat Index Table'!AH11)),ROUND('CSV-Query'!AG11,0)=ROUND('Heat Index Table'!AH11,0),ISBLANK('CSV-Query'!AG11))</f>
        <v>1</v>
      </c>
      <c r="AH12" s="1" t="b">
        <f>IF(NOT(ISBLANK('Heat Index Table'!AI11)),ROUND('CSV-Query'!AH11,0)=ROUND('Heat Index Table'!AI11,0),ISBLANK('CSV-Query'!AH11))</f>
        <v>1</v>
      </c>
      <c r="AI12" s="1" t="b">
        <f>IF(NOT(ISBLANK('Heat Index Table'!AJ11)),ROUND('CSV-Query'!AI11,0)=ROUND('Heat Index Table'!AJ11,0),ISBLANK('CSV-Query'!AI11))</f>
        <v>1</v>
      </c>
      <c r="AJ12" s="1" t="b">
        <f>IF(NOT(ISBLANK('Heat Index Table'!AK11)),ROUND('CSV-Query'!AJ11,0)=ROUND('Heat Index Table'!AK11,0),ISBLANK('CSV-Query'!AJ11))</f>
        <v>1</v>
      </c>
      <c r="AK12" s="1" t="b">
        <f>IF(NOT(ISBLANK('Heat Index Table'!AL11)),ROUND('CSV-Query'!AK11,0)=ROUND('Heat Index Table'!AL11,0),ISBLANK('CSV-Query'!AK11))</f>
        <v>1</v>
      </c>
      <c r="AL12" s="1" t="b">
        <f>IF(NOT(ISBLANK('Heat Index Table'!AM11)),ROUND('CSV-Query'!AL11,0)=ROUND('Heat Index Table'!AM11,0),ISBLANK('CSV-Query'!AL11))</f>
        <v>1</v>
      </c>
      <c r="AM12" s="1" t="b">
        <f>IF(NOT(ISBLANK('Heat Index Table'!AN11)),ROUND('CSV-Query'!AM11,0)=ROUND('Heat Index Table'!AN11,0),ISBLANK('CSV-Query'!AM11))</f>
        <v>1</v>
      </c>
      <c r="AN12" s="1" t="b">
        <f>IF(NOT(ISBLANK('Heat Index Table'!AO11)),ROUND('CSV-Query'!AN11,0)=ROUND('Heat Index Table'!AO11,0),ISBLANK('CSV-Query'!AN11))</f>
        <v>1</v>
      </c>
      <c r="AO12" s="1" t="b">
        <f>IF(NOT(ISBLANK('Heat Index Table'!AP11)),ROUND('CSV-Query'!AO11,0)=ROUND('Heat Index Table'!AP11,0),ISBLANK('CSV-Query'!AO11))</f>
        <v>1</v>
      </c>
      <c r="AP12" s="1" t="b">
        <f>IF(NOT(ISBLANK('Heat Index Table'!AQ11)),ROUND('CSV-Query'!AP11,0)=ROUND('Heat Index Table'!AQ11,0),ISBLANK('CSV-Query'!AP11))</f>
        <v>1</v>
      </c>
      <c r="AQ12" s="1" t="b">
        <f>IF(NOT(ISBLANK('Heat Index Table'!AR11)),ROUND('CSV-Query'!AQ11,0)=ROUND('Heat Index Table'!AR11,0),ISBLANK('CSV-Query'!AQ11))</f>
        <v>1</v>
      </c>
      <c r="AR12" s="1" t="b">
        <f>IF(NOT(ISBLANK('Heat Index Table'!AS11)),ROUND('CSV-Query'!AR11,0)=ROUND('Heat Index Table'!AS11,0),ISBLANK('CSV-Query'!AR11))</f>
        <v>1</v>
      </c>
      <c r="AS12" s="1" t="b">
        <f>IF(NOT(ISBLANK('Heat Index Table'!AT11)),ROUND('CSV-Query'!AS11,0)=ROUND('Heat Index Table'!AT11,0),ISBLANK('CSV-Query'!AS11))</f>
        <v>1</v>
      </c>
      <c r="AT12" s="1" t="b">
        <f>IF(NOT(ISBLANK('Heat Index Table'!AU11)),ROUND('CSV-Query'!AT11,0)=ROUND('Heat Index Table'!AU11,0),ISBLANK('CSV-Query'!AT11))</f>
        <v>1</v>
      </c>
      <c r="AU12" s="1" t="b">
        <f>IF(NOT(ISBLANK('Heat Index Table'!AV11)),ROUND('CSV-Query'!AU11,0)=ROUND('Heat Index Table'!AV11,0),ISBLANK('CSV-Query'!AU11))</f>
        <v>1</v>
      </c>
      <c r="AV12" s="1" t="b">
        <f>IF(NOT(ISBLANK('Heat Index Table'!AW11)),ROUND('CSV-Query'!AV11,0)=ROUND('Heat Index Table'!AW11,0),ISBLANK('CSV-Query'!AV11))</f>
        <v>1</v>
      </c>
      <c r="AW12" s="1" t="b">
        <f>IF(NOT(ISBLANK('Heat Index Table'!AX11)),ROUND('CSV-Query'!AW11,0)=ROUND('Heat Index Table'!AX11,0),ISBLANK('CSV-Query'!AW11))</f>
        <v>1</v>
      </c>
      <c r="AX12" s="1" t="b">
        <f>IF(NOT(ISBLANK('Heat Index Table'!AY11)),ROUND('CSV-Query'!AX11,0)=ROUND('Heat Index Table'!AY11,0),ISBLANK('CSV-Query'!AX11))</f>
        <v>1</v>
      </c>
    </row>
    <row r="13" spans="1:50" x14ac:dyDescent="0.45">
      <c r="A13" s="1">
        <v>108</v>
      </c>
      <c r="B13" s="1" t="b">
        <f>IF(NOT(ISBLANK('Heat Index Table'!C12)),ROUND('CSV-Query'!B12,0)=ROUND('Heat Index Table'!C12,0),ISBLANK('CSV-Query'!B12))</f>
        <v>1</v>
      </c>
      <c r="C13" s="1" t="b">
        <f>IF(NOT(ISBLANK('Heat Index Table'!D12)),ROUND('CSV-Query'!C12,0)=ROUND('Heat Index Table'!D12,0),ISBLANK('CSV-Query'!C12))</f>
        <v>1</v>
      </c>
      <c r="D13" s="1" t="b">
        <f>IF(NOT(ISBLANK('Heat Index Table'!E12)),ROUND('CSV-Query'!D12,0)=ROUND('Heat Index Table'!E12,0),ISBLANK('CSV-Query'!D12))</f>
        <v>1</v>
      </c>
      <c r="E13" s="1" t="b">
        <f>IF(NOT(ISBLANK('Heat Index Table'!F12)),ROUND('CSV-Query'!E12,0)=ROUND('Heat Index Table'!F12,0),ISBLANK('CSV-Query'!E12))</f>
        <v>1</v>
      </c>
      <c r="F13" s="1" t="b">
        <f>IF(NOT(ISBLANK('Heat Index Table'!G12)),ROUND('CSV-Query'!F12,0)=ROUND('Heat Index Table'!G12,0),ISBLANK('CSV-Query'!F12))</f>
        <v>1</v>
      </c>
      <c r="G13" s="1" t="b">
        <f>IF(NOT(ISBLANK('Heat Index Table'!H12)),ROUND('CSV-Query'!G12,0)=ROUND('Heat Index Table'!H12,0),ISBLANK('CSV-Query'!G12))</f>
        <v>1</v>
      </c>
      <c r="H13" s="1" t="b">
        <f>IF(NOT(ISBLANK('Heat Index Table'!I12)),ROUND('CSV-Query'!H12,0)=ROUND('Heat Index Table'!I12,0),ISBLANK('CSV-Query'!H12))</f>
        <v>1</v>
      </c>
      <c r="I13" s="1" t="b">
        <f>IF(NOT(ISBLANK('Heat Index Table'!J12)),ROUND('CSV-Query'!I12,0)=ROUND('Heat Index Table'!J12,0),ISBLANK('CSV-Query'!I12))</f>
        <v>1</v>
      </c>
      <c r="J13" s="1" t="b">
        <f>IF(NOT(ISBLANK('Heat Index Table'!K12)),ROUND('CSV-Query'!J12,0)=ROUND('Heat Index Table'!K12,0),ISBLANK('CSV-Query'!J12))</f>
        <v>1</v>
      </c>
      <c r="K13" s="1" t="b">
        <f>IF(NOT(ISBLANK('Heat Index Table'!L12)),ROUND('CSV-Query'!K12,0)=ROUND('Heat Index Table'!L12,0),ISBLANK('CSV-Query'!K12))</f>
        <v>1</v>
      </c>
      <c r="L13" s="1" t="b">
        <f>IF(NOT(ISBLANK('Heat Index Table'!M12)),ROUND('CSV-Query'!L12,0)=ROUND('Heat Index Table'!M12,0),ISBLANK('CSV-Query'!L12))</f>
        <v>1</v>
      </c>
      <c r="M13" s="1" t="b">
        <f>IF(NOT(ISBLANK('Heat Index Table'!N12)),ROUND('CSV-Query'!M12,0)=ROUND('Heat Index Table'!N12,0),ISBLANK('CSV-Query'!M12))</f>
        <v>1</v>
      </c>
      <c r="N13" s="1" t="b">
        <f>IF(NOT(ISBLANK('Heat Index Table'!O12)),ROUND('CSV-Query'!N12,0)=ROUND('Heat Index Table'!O12,0),ISBLANK('CSV-Query'!N12))</f>
        <v>1</v>
      </c>
      <c r="O13" s="1" t="b">
        <f>IF(NOT(ISBLANK('Heat Index Table'!P12)),ROUND('CSV-Query'!O12,0)=ROUND('Heat Index Table'!P12,0),ISBLANK('CSV-Query'!O12))</f>
        <v>1</v>
      </c>
      <c r="P13" s="1" t="b">
        <f>IF(NOT(ISBLANK('Heat Index Table'!Q12)),ROUND('CSV-Query'!P12,0)=ROUND('Heat Index Table'!Q12,0),ISBLANK('CSV-Query'!P12))</f>
        <v>1</v>
      </c>
      <c r="Q13" s="1" t="b">
        <f>IF(NOT(ISBLANK('Heat Index Table'!R12)),ROUND('CSV-Query'!Q12,0)=ROUND('Heat Index Table'!R12,0),ISBLANK('CSV-Query'!Q12))</f>
        <v>1</v>
      </c>
      <c r="R13" s="1" t="b">
        <f>IF(NOT(ISBLANK('Heat Index Table'!S12)),ROUND('CSV-Query'!R12,0)=ROUND('Heat Index Table'!S12,0),ISBLANK('CSV-Query'!R12))</f>
        <v>1</v>
      </c>
      <c r="S13" s="1" t="b">
        <f>IF(NOT(ISBLANK('Heat Index Table'!T12)),ROUND('CSV-Query'!S12,0)=ROUND('Heat Index Table'!T12,0),ISBLANK('CSV-Query'!S12))</f>
        <v>1</v>
      </c>
      <c r="T13" s="1" t="b">
        <f>IF(NOT(ISBLANK('Heat Index Table'!U12)),ROUND('CSV-Query'!T12,0)=ROUND('Heat Index Table'!U12,0),ISBLANK('CSV-Query'!T12))</f>
        <v>1</v>
      </c>
      <c r="U13" s="1" t="b">
        <f>IF(NOT(ISBLANK('Heat Index Table'!V12)),ROUND('CSV-Query'!U12,0)=ROUND('Heat Index Table'!V12,0),ISBLANK('CSV-Query'!U12))</f>
        <v>1</v>
      </c>
      <c r="V13" s="1" t="b">
        <f>IF(NOT(ISBLANK('Heat Index Table'!W12)),ROUND('CSV-Query'!V12,0)=ROUND('Heat Index Table'!W12,0),ISBLANK('CSV-Query'!V12))</f>
        <v>1</v>
      </c>
      <c r="W13" s="1" t="b">
        <f>IF(NOT(ISBLANK('Heat Index Table'!X12)),ROUND('CSV-Query'!W12,0)=ROUND('Heat Index Table'!X12,0),ISBLANK('CSV-Query'!W12))</f>
        <v>1</v>
      </c>
      <c r="X13" s="1" t="b">
        <f>IF(NOT(ISBLANK('Heat Index Table'!Y12)),ROUND('CSV-Query'!X12,0)=ROUND('Heat Index Table'!Y12,0),ISBLANK('CSV-Query'!X12))</f>
        <v>1</v>
      </c>
      <c r="Y13" s="1" t="b">
        <f>IF(NOT(ISBLANK('Heat Index Table'!Z12)),ROUND('CSV-Query'!Y12,0)=ROUND('Heat Index Table'!Z12,0),ISBLANK('CSV-Query'!Y12))</f>
        <v>1</v>
      </c>
      <c r="Z13" s="1" t="b">
        <f>IF(NOT(ISBLANK('Heat Index Table'!AA12)),ROUND('CSV-Query'!Z12,0)=ROUND('Heat Index Table'!AA12,0),ISBLANK('CSV-Query'!Z12))</f>
        <v>1</v>
      </c>
      <c r="AA13" s="1" t="b">
        <f>IF(NOT(ISBLANK('Heat Index Table'!AB12)),ROUND('CSV-Query'!AA12,0)=ROUND('Heat Index Table'!AB12,0),ISBLANK('CSV-Query'!AA12))</f>
        <v>1</v>
      </c>
      <c r="AB13" s="1" t="b">
        <f>IF(NOT(ISBLANK('Heat Index Table'!AC12)),ROUND('CSV-Query'!AB12,0)=ROUND('Heat Index Table'!AC12,0),ISBLANK('CSV-Query'!AB12))</f>
        <v>1</v>
      </c>
      <c r="AC13" s="1" t="b">
        <f>IF(NOT(ISBLANK('Heat Index Table'!AD12)),ROUND('CSV-Query'!AC12,0)=ROUND('Heat Index Table'!AD12,0),ISBLANK('CSV-Query'!AC12))</f>
        <v>1</v>
      </c>
      <c r="AD13" s="1" t="b">
        <f>IF(NOT(ISBLANK('Heat Index Table'!AE12)),ROUND('CSV-Query'!AD12,0)=ROUND('Heat Index Table'!AE12,0),ISBLANK('CSV-Query'!AD12))</f>
        <v>1</v>
      </c>
      <c r="AE13" s="1" t="b">
        <f>IF(NOT(ISBLANK('Heat Index Table'!AF12)),ROUND('CSV-Query'!AE12,0)=ROUND('Heat Index Table'!AF12,0),ISBLANK('CSV-Query'!AE12))</f>
        <v>1</v>
      </c>
      <c r="AF13" s="1" t="b">
        <f>IF(NOT(ISBLANK('Heat Index Table'!AG12)),ROUND('CSV-Query'!AF12,0)=ROUND('Heat Index Table'!AG12,0),ISBLANK('CSV-Query'!AF12))</f>
        <v>1</v>
      </c>
      <c r="AG13" s="1" t="b">
        <f>IF(NOT(ISBLANK('Heat Index Table'!AH12)),ROUND('CSV-Query'!AG12,0)=ROUND('Heat Index Table'!AH12,0),ISBLANK('CSV-Query'!AG12))</f>
        <v>1</v>
      </c>
      <c r="AH13" s="1" t="b">
        <f>IF(NOT(ISBLANK('Heat Index Table'!AI12)),ROUND('CSV-Query'!AH12,0)=ROUND('Heat Index Table'!AI12,0),ISBLANK('CSV-Query'!AH12))</f>
        <v>1</v>
      </c>
      <c r="AI13" s="1" t="b">
        <f>IF(NOT(ISBLANK('Heat Index Table'!AJ12)),ROUND('CSV-Query'!AI12,0)=ROUND('Heat Index Table'!AJ12,0),ISBLANK('CSV-Query'!AI12))</f>
        <v>1</v>
      </c>
      <c r="AJ13" s="1" t="b">
        <f>IF(NOT(ISBLANK('Heat Index Table'!AK12)),ROUND('CSV-Query'!AJ12,0)=ROUND('Heat Index Table'!AK12,0),ISBLANK('CSV-Query'!AJ12))</f>
        <v>1</v>
      </c>
      <c r="AK13" s="1" t="b">
        <f>IF(NOT(ISBLANK('Heat Index Table'!AL12)),ROUND('CSV-Query'!AK12,0)=ROUND('Heat Index Table'!AL12,0),ISBLANK('CSV-Query'!AK12))</f>
        <v>1</v>
      </c>
      <c r="AL13" s="1" t="b">
        <f>IF(NOT(ISBLANK('Heat Index Table'!AM12)),ROUND('CSV-Query'!AL12,0)=ROUND('Heat Index Table'!AM12,0),ISBLANK('CSV-Query'!AL12))</f>
        <v>1</v>
      </c>
      <c r="AM13" s="1" t="b">
        <f>IF(NOT(ISBLANK('Heat Index Table'!AN12)),ROUND('CSV-Query'!AM12,0)=ROUND('Heat Index Table'!AN12,0),ISBLANK('CSV-Query'!AM12))</f>
        <v>1</v>
      </c>
      <c r="AN13" s="1" t="b">
        <f>IF(NOT(ISBLANK('Heat Index Table'!AO12)),ROUND('CSV-Query'!AN12,0)=ROUND('Heat Index Table'!AO12,0),ISBLANK('CSV-Query'!AN12))</f>
        <v>1</v>
      </c>
      <c r="AO13" s="1" t="b">
        <f>IF(NOT(ISBLANK('Heat Index Table'!AP12)),ROUND('CSV-Query'!AO12,0)=ROUND('Heat Index Table'!AP12,0),ISBLANK('CSV-Query'!AO12))</f>
        <v>1</v>
      </c>
      <c r="AP13" s="1" t="b">
        <f>IF(NOT(ISBLANK('Heat Index Table'!AQ12)),ROUND('CSV-Query'!AP12,0)=ROUND('Heat Index Table'!AQ12,0),ISBLANK('CSV-Query'!AP12))</f>
        <v>1</v>
      </c>
      <c r="AQ13" s="1" t="b">
        <f>IF(NOT(ISBLANK('Heat Index Table'!AR12)),ROUND('CSV-Query'!AQ12,0)=ROUND('Heat Index Table'!AR12,0),ISBLANK('CSV-Query'!AQ12))</f>
        <v>1</v>
      </c>
      <c r="AR13" s="1" t="b">
        <f>IF(NOT(ISBLANK('Heat Index Table'!AS12)),ROUND('CSV-Query'!AR12,0)=ROUND('Heat Index Table'!AS12,0),ISBLANK('CSV-Query'!AR12))</f>
        <v>1</v>
      </c>
      <c r="AS13" s="1" t="b">
        <f>IF(NOT(ISBLANK('Heat Index Table'!AT12)),ROUND('CSV-Query'!AS12,0)=ROUND('Heat Index Table'!AT12,0),ISBLANK('CSV-Query'!AS12))</f>
        <v>1</v>
      </c>
      <c r="AT13" s="1" t="b">
        <f>IF(NOT(ISBLANK('Heat Index Table'!AU12)),ROUND('CSV-Query'!AT12,0)=ROUND('Heat Index Table'!AU12,0),ISBLANK('CSV-Query'!AT12))</f>
        <v>1</v>
      </c>
      <c r="AU13" s="1" t="b">
        <f>IF(NOT(ISBLANK('Heat Index Table'!AV12)),ROUND('CSV-Query'!AU12,0)=ROUND('Heat Index Table'!AV12,0),ISBLANK('CSV-Query'!AU12))</f>
        <v>1</v>
      </c>
      <c r="AV13" s="1" t="b">
        <f>IF(NOT(ISBLANK('Heat Index Table'!AW12)),ROUND('CSV-Query'!AV12,0)=ROUND('Heat Index Table'!AW12,0),ISBLANK('CSV-Query'!AV12))</f>
        <v>1</v>
      </c>
      <c r="AW13" s="1" t="b">
        <f>IF(NOT(ISBLANK('Heat Index Table'!AX12)),ROUND('CSV-Query'!AW12,0)=ROUND('Heat Index Table'!AX12,0),ISBLANK('CSV-Query'!AW12))</f>
        <v>1</v>
      </c>
      <c r="AX13" s="1" t="b">
        <f>IF(NOT(ISBLANK('Heat Index Table'!AY12)),ROUND('CSV-Query'!AX12,0)=ROUND('Heat Index Table'!AY12,0),ISBLANK('CSV-Query'!AX12))</f>
        <v>1</v>
      </c>
    </row>
    <row r="14" spans="1:50" x14ac:dyDescent="0.45">
      <c r="A14" s="1">
        <v>106</v>
      </c>
      <c r="B14" s="1" t="b">
        <f>IF(NOT(ISBLANK('Heat Index Table'!C13)),ROUND('CSV-Query'!B13,0)=ROUND('Heat Index Table'!C13,0),ISBLANK('CSV-Query'!B13))</f>
        <v>1</v>
      </c>
      <c r="C14" s="1" t="b">
        <f>IF(NOT(ISBLANK('Heat Index Table'!D13)),ROUND('CSV-Query'!C13,0)=ROUND('Heat Index Table'!D13,0),ISBLANK('CSV-Query'!C13))</f>
        <v>1</v>
      </c>
      <c r="D14" s="1" t="b">
        <f>IF(NOT(ISBLANK('Heat Index Table'!E13)),ROUND('CSV-Query'!D13,0)=ROUND('Heat Index Table'!E13,0),ISBLANK('CSV-Query'!D13))</f>
        <v>1</v>
      </c>
      <c r="E14" s="1" t="b">
        <f>IF(NOT(ISBLANK('Heat Index Table'!F13)),ROUND('CSV-Query'!E13,0)=ROUND('Heat Index Table'!F13,0),ISBLANK('CSV-Query'!E13))</f>
        <v>1</v>
      </c>
      <c r="F14" s="1" t="b">
        <f>IF(NOT(ISBLANK('Heat Index Table'!G13)),ROUND('CSV-Query'!F13,0)=ROUND('Heat Index Table'!G13,0),ISBLANK('CSV-Query'!F13))</f>
        <v>1</v>
      </c>
      <c r="G14" s="1" t="b">
        <f>IF(NOT(ISBLANK('Heat Index Table'!H13)),ROUND('CSV-Query'!G13,0)=ROUND('Heat Index Table'!H13,0),ISBLANK('CSV-Query'!G13))</f>
        <v>1</v>
      </c>
      <c r="H14" s="1" t="b">
        <f>IF(NOT(ISBLANK('Heat Index Table'!I13)),ROUND('CSV-Query'!H13,0)=ROUND('Heat Index Table'!I13,0),ISBLANK('CSV-Query'!H13))</f>
        <v>1</v>
      </c>
      <c r="I14" s="1" t="b">
        <f>IF(NOT(ISBLANK('Heat Index Table'!J13)),ROUND('CSV-Query'!I13,0)=ROUND('Heat Index Table'!J13,0),ISBLANK('CSV-Query'!I13))</f>
        <v>1</v>
      </c>
      <c r="J14" s="1" t="b">
        <f>IF(NOT(ISBLANK('Heat Index Table'!K13)),ROUND('CSV-Query'!J13,0)=ROUND('Heat Index Table'!K13,0),ISBLANK('CSV-Query'!J13))</f>
        <v>1</v>
      </c>
      <c r="K14" s="1" t="b">
        <f>IF(NOT(ISBLANK('Heat Index Table'!L13)),ROUND('CSV-Query'!K13,0)=ROUND('Heat Index Table'!L13,0),ISBLANK('CSV-Query'!K13))</f>
        <v>1</v>
      </c>
      <c r="L14" s="1" t="b">
        <f>IF(NOT(ISBLANK('Heat Index Table'!M13)),ROUND('CSV-Query'!L13,0)=ROUND('Heat Index Table'!M13,0),ISBLANK('CSV-Query'!L13))</f>
        <v>1</v>
      </c>
      <c r="M14" s="1" t="b">
        <f>IF(NOT(ISBLANK('Heat Index Table'!N13)),ROUND('CSV-Query'!M13,0)=ROUND('Heat Index Table'!N13,0),ISBLANK('CSV-Query'!M13))</f>
        <v>1</v>
      </c>
      <c r="N14" s="1" t="b">
        <f>IF(NOT(ISBLANK('Heat Index Table'!O13)),ROUND('CSV-Query'!N13,0)=ROUND('Heat Index Table'!O13,0),ISBLANK('CSV-Query'!N13))</f>
        <v>1</v>
      </c>
      <c r="O14" s="1" t="b">
        <f>IF(NOT(ISBLANK('Heat Index Table'!P13)),ROUND('CSV-Query'!O13,0)=ROUND('Heat Index Table'!P13,0),ISBLANK('CSV-Query'!O13))</f>
        <v>1</v>
      </c>
      <c r="P14" s="1" t="b">
        <f>IF(NOT(ISBLANK('Heat Index Table'!Q13)),ROUND('CSV-Query'!P13,0)=ROUND('Heat Index Table'!Q13,0),ISBLANK('CSV-Query'!P13))</f>
        <v>1</v>
      </c>
      <c r="Q14" s="1" t="b">
        <f>IF(NOT(ISBLANK('Heat Index Table'!R13)),ROUND('CSV-Query'!Q13,0)=ROUND('Heat Index Table'!R13,0),ISBLANK('CSV-Query'!Q13))</f>
        <v>1</v>
      </c>
      <c r="R14" s="1" t="b">
        <f>IF(NOT(ISBLANK('Heat Index Table'!S13)),ROUND('CSV-Query'!R13,0)=ROUND('Heat Index Table'!S13,0),ISBLANK('CSV-Query'!R13))</f>
        <v>1</v>
      </c>
      <c r="S14" s="1" t="b">
        <f>IF(NOT(ISBLANK('Heat Index Table'!T13)),ROUND('CSV-Query'!S13,0)=ROUND('Heat Index Table'!T13,0),ISBLANK('CSV-Query'!S13))</f>
        <v>1</v>
      </c>
      <c r="T14" s="1" t="b">
        <f>IF(NOT(ISBLANK('Heat Index Table'!U13)),ROUND('CSV-Query'!T13,0)=ROUND('Heat Index Table'!U13,0),ISBLANK('CSV-Query'!T13))</f>
        <v>1</v>
      </c>
      <c r="U14" s="1" t="b">
        <f>IF(NOT(ISBLANK('Heat Index Table'!V13)),ROUND('CSV-Query'!U13,0)=ROUND('Heat Index Table'!V13,0),ISBLANK('CSV-Query'!U13))</f>
        <v>1</v>
      </c>
      <c r="V14" s="1" t="b">
        <f>IF(NOT(ISBLANK('Heat Index Table'!W13)),ROUND('CSV-Query'!V13,0)=ROUND('Heat Index Table'!W13,0),ISBLANK('CSV-Query'!V13))</f>
        <v>1</v>
      </c>
      <c r="W14" s="1" t="b">
        <f>IF(NOT(ISBLANK('Heat Index Table'!X13)),ROUND('CSV-Query'!W13,0)=ROUND('Heat Index Table'!X13,0),ISBLANK('CSV-Query'!W13))</f>
        <v>1</v>
      </c>
      <c r="X14" s="1" t="b">
        <f>IF(NOT(ISBLANK('Heat Index Table'!Y13)),ROUND('CSV-Query'!X13,0)=ROUND('Heat Index Table'!Y13,0),ISBLANK('CSV-Query'!X13))</f>
        <v>1</v>
      </c>
      <c r="Y14" s="1" t="b">
        <f>IF(NOT(ISBLANK('Heat Index Table'!Z13)),ROUND('CSV-Query'!Y13,0)=ROUND('Heat Index Table'!Z13,0),ISBLANK('CSV-Query'!Y13))</f>
        <v>1</v>
      </c>
      <c r="Z14" s="1" t="b">
        <f>IF(NOT(ISBLANK('Heat Index Table'!AA13)),ROUND('CSV-Query'!Z13,0)=ROUND('Heat Index Table'!AA13,0),ISBLANK('CSV-Query'!Z13))</f>
        <v>1</v>
      </c>
      <c r="AA14" s="1" t="b">
        <f>IF(NOT(ISBLANK('Heat Index Table'!AB13)),ROUND('CSV-Query'!AA13,0)=ROUND('Heat Index Table'!AB13,0),ISBLANK('CSV-Query'!AA13))</f>
        <v>1</v>
      </c>
      <c r="AB14" s="1" t="b">
        <f>IF(NOT(ISBLANK('Heat Index Table'!AC13)),ROUND('CSV-Query'!AB13,0)=ROUND('Heat Index Table'!AC13,0),ISBLANK('CSV-Query'!AB13))</f>
        <v>1</v>
      </c>
      <c r="AC14" s="1" t="b">
        <f>IF(NOT(ISBLANK('Heat Index Table'!AD13)),ROUND('CSV-Query'!AC13,0)=ROUND('Heat Index Table'!AD13,0),ISBLANK('CSV-Query'!AC13))</f>
        <v>1</v>
      </c>
      <c r="AD14" s="1" t="b">
        <f>IF(NOT(ISBLANK('Heat Index Table'!AE13)),ROUND('CSV-Query'!AD13,0)=ROUND('Heat Index Table'!AE13,0),ISBLANK('CSV-Query'!AD13))</f>
        <v>1</v>
      </c>
      <c r="AE14" s="1" t="b">
        <f>IF(NOT(ISBLANK('Heat Index Table'!AF13)),ROUND('CSV-Query'!AE13,0)=ROUND('Heat Index Table'!AF13,0),ISBLANK('CSV-Query'!AE13))</f>
        <v>1</v>
      </c>
      <c r="AF14" s="1" t="b">
        <f>IF(NOT(ISBLANK('Heat Index Table'!AG13)),ROUND('CSV-Query'!AF13,0)=ROUND('Heat Index Table'!AG13,0),ISBLANK('CSV-Query'!AF13))</f>
        <v>1</v>
      </c>
      <c r="AG14" s="1" t="b">
        <f>IF(NOT(ISBLANK('Heat Index Table'!AH13)),ROUND('CSV-Query'!AG13,0)=ROUND('Heat Index Table'!AH13,0),ISBLANK('CSV-Query'!AG13))</f>
        <v>1</v>
      </c>
      <c r="AH14" s="1" t="b">
        <f>IF(NOT(ISBLANK('Heat Index Table'!AI13)),ROUND('CSV-Query'!AH13,0)=ROUND('Heat Index Table'!AI13,0),ISBLANK('CSV-Query'!AH13))</f>
        <v>1</v>
      </c>
      <c r="AI14" s="1" t="b">
        <f>IF(NOT(ISBLANK('Heat Index Table'!AJ13)),ROUND('CSV-Query'!AI13,0)=ROUND('Heat Index Table'!AJ13,0),ISBLANK('CSV-Query'!AI13))</f>
        <v>1</v>
      </c>
      <c r="AJ14" s="1" t="b">
        <f>IF(NOT(ISBLANK('Heat Index Table'!AK13)),ROUND('CSV-Query'!AJ13,0)=ROUND('Heat Index Table'!AK13,0),ISBLANK('CSV-Query'!AJ13))</f>
        <v>1</v>
      </c>
      <c r="AK14" s="1" t="b">
        <f>IF(NOT(ISBLANK('Heat Index Table'!AL13)),ROUND('CSV-Query'!AK13,0)=ROUND('Heat Index Table'!AL13,0),ISBLANK('CSV-Query'!AK13))</f>
        <v>1</v>
      </c>
      <c r="AL14" s="1" t="b">
        <f>IF(NOT(ISBLANK('Heat Index Table'!AM13)),ROUND('CSV-Query'!AL13,0)=ROUND('Heat Index Table'!AM13,0),ISBLANK('CSV-Query'!AL13))</f>
        <v>1</v>
      </c>
      <c r="AM14" s="1" t="b">
        <f>IF(NOT(ISBLANK('Heat Index Table'!AN13)),ROUND('CSV-Query'!AM13,0)=ROUND('Heat Index Table'!AN13,0),ISBLANK('CSV-Query'!AM13))</f>
        <v>1</v>
      </c>
      <c r="AN14" s="1" t="b">
        <f>IF(NOT(ISBLANK('Heat Index Table'!AO13)),ROUND('CSV-Query'!AN13,0)=ROUND('Heat Index Table'!AO13,0),ISBLANK('CSV-Query'!AN13))</f>
        <v>1</v>
      </c>
      <c r="AO14" s="1" t="b">
        <f>IF(NOT(ISBLANK('Heat Index Table'!AP13)),ROUND('CSV-Query'!AO13,0)=ROUND('Heat Index Table'!AP13,0),ISBLANK('CSV-Query'!AO13))</f>
        <v>1</v>
      </c>
      <c r="AP14" s="1" t="b">
        <f>IF(NOT(ISBLANK('Heat Index Table'!AQ13)),ROUND('CSV-Query'!AP13,0)=ROUND('Heat Index Table'!AQ13,0),ISBLANK('CSV-Query'!AP13))</f>
        <v>1</v>
      </c>
      <c r="AQ14" s="1" t="b">
        <f>IF(NOT(ISBLANK('Heat Index Table'!AR13)),ROUND('CSV-Query'!AQ13,0)=ROUND('Heat Index Table'!AR13,0),ISBLANK('CSV-Query'!AQ13))</f>
        <v>1</v>
      </c>
      <c r="AR14" s="1" t="b">
        <f>IF(NOT(ISBLANK('Heat Index Table'!AS13)),ROUND('CSV-Query'!AR13,0)=ROUND('Heat Index Table'!AS13,0),ISBLANK('CSV-Query'!AR13))</f>
        <v>1</v>
      </c>
      <c r="AS14" s="1" t="b">
        <f>IF(NOT(ISBLANK('Heat Index Table'!AT13)),ROUND('CSV-Query'!AS13,0)=ROUND('Heat Index Table'!AT13,0),ISBLANK('CSV-Query'!AS13))</f>
        <v>1</v>
      </c>
      <c r="AT14" s="1" t="b">
        <f>IF(NOT(ISBLANK('Heat Index Table'!AU13)),ROUND('CSV-Query'!AT13,0)=ROUND('Heat Index Table'!AU13,0),ISBLANK('CSV-Query'!AT13))</f>
        <v>1</v>
      </c>
      <c r="AU14" s="1" t="b">
        <f>IF(NOT(ISBLANK('Heat Index Table'!AV13)),ROUND('CSV-Query'!AU13,0)=ROUND('Heat Index Table'!AV13,0),ISBLANK('CSV-Query'!AU13))</f>
        <v>1</v>
      </c>
      <c r="AV14" s="1" t="b">
        <f>IF(NOT(ISBLANK('Heat Index Table'!AW13)),ROUND('CSV-Query'!AV13,0)=ROUND('Heat Index Table'!AW13,0),ISBLANK('CSV-Query'!AV13))</f>
        <v>1</v>
      </c>
      <c r="AW14" s="1" t="b">
        <f>IF(NOT(ISBLANK('Heat Index Table'!AX13)),ROUND('CSV-Query'!AW13,0)=ROUND('Heat Index Table'!AX13,0),ISBLANK('CSV-Query'!AW13))</f>
        <v>1</v>
      </c>
      <c r="AX14" s="1" t="b">
        <f>IF(NOT(ISBLANK('Heat Index Table'!AY13)),ROUND('CSV-Query'!AX13,0)=ROUND('Heat Index Table'!AY13,0),ISBLANK('CSV-Query'!AX13))</f>
        <v>1</v>
      </c>
    </row>
    <row r="15" spans="1:50" x14ac:dyDescent="0.45">
      <c r="A15" s="1">
        <v>104</v>
      </c>
      <c r="B15" s="1" t="b">
        <f>IF(NOT(ISBLANK('Heat Index Table'!C14)),ROUND('CSV-Query'!B14,0)=ROUND('Heat Index Table'!C14,0),ISBLANK('CSV-Query'!B14))</f>
        <v>1</v>
      </c>
      <c r="C15" s="1" t="b">
        <f>IF(NOT(ISBLANK('Heat Index Table'!D14)),ROUND('CSV-Query'!C14,0)=ROUND('Heat Index Table'!D14,0),ISBLANK('CSV-Query'!C14))</f>
        <v>1</v>
      </c>
      <c r="D15" s="1" t="b">
        <f>IF(NOT(ISBLANK('Heat Index Table'!E14)),ROUND('CSV-Query'!D14,0)=ROUND('Heat Index Table'!E14,0),ISBLANK('CSV-Query'!D14))</f>
        <v>1</v>
      </c>
      <c r="E15" s="1" t="b">
        <f>IF(NOT(ISBLANK('Heat Index Table'!F14)),ROUND('CSV-Query'!E14,0)=ROUND('Heat Index Table'!F14,0),ISBLANK('CSV-Query'!E14))</f>
        <v>1</v>
      </c>
      <c r="F15" s="1" t="b">
        <f>IF(NOT(ISBLANK('Heat Index Table'!G14)),ROUND('CSV-Query'!F14,0)=ROUND('Heat Index Table'!G14,0),ISBLANK('CSV-Query'!F14))</f>
        <v>1</v>
      </c>
      <c r="G15" s="1" t="b">
        <f>IF(NOT(ISBLANK('Heat Index Table'!H14)),ROUND('CSV-Query'!G14,0)=ROUND('Heat Index Table'!H14,0),ISBLANK('CSV-Query'!G14))</f>
        <v>1</v>
      </c>
      <c r="H15" s="1" t="b">
        <f>IF(NOT(ISBLANK('Heat Index Table'!I14)),ROUND('CSV-Query'!H14,0)=ROUND('Heat Index Table'!I14,0),ISBLANK('CSV-Query'!H14))</f>
        <v>1</v>
      </c>
      <c r="I15" s="1" t="b">
        <f>IF(NOT(ISBLANK('Heat Index Table'!J14)),ROUND('CSV-Query'!I14,0)=ROUND('Heat Index Table'!J14,0),ISBLANK('CSV-Query'!I14))</f>
        <v>1</v>
      </c>
      <c r="J15" s="1" t="b">
        <f>IF(NOT(ISBLANK('Heat Index Table'!K14)),ROUND('CSV-Query'!J14,0)=ROUND('Heat Index Table'!K14,0),ISBLANK('CSV-Query'!J14))</f>
        <v>1</v>
      </c>
      <c r="K15" s="1" t="b">
        <f>IF(NOT(ISBLANK('Heat Index Table'!L14)),ROUND('CSV-Query'!K14,0)=ROUND('Heat Index Table'!L14,0),ISBLANK('CSV-Query'!K14))</f>
        <v>1</v>
      </c>
      <c r="L15" s="1" t="b">
        <f>IF(NOT(ISBLANK('Heat Index Table'!M14)),ROUND('CSV-Query'!L14,0)=ROUND('Heat Index Table'!M14,0),ISBLANK('CSV-Query'!L14))</f>
        <v>1</v>
      </c>
      <c r="M15" s="1" t="b">
        <f>IF(NOT(ISBLANK('Heat Index Table'!N14)),ROUND('CSV-Query'!M14,0)=ROUND('Heat Index Table'!N14,0),ISBLANK('CSV-Query'!M14))</f>
        <v>1</v>
      </c>
      <c r="N15" s="1" t="b">
        <f>IF(NOT(ISBLANK('Heat Index Table'!O14)),ROUND('CSV-Query'!N14,0)=ROUND('Heat Index Table'!O14,0),ISBLANK('CSV-Query'!N14))</f>
        <v>1</v>
      </c>
      <c r="O15" s="1" t="b">
        <f>IF(NOT(ISBLANK('Heat Index Table'!P14)),ROUND('CSV-Query'!O14,0)=ROUND('Heat Index Table'!P14,0),ISBLANK('CSV-Query'!O14))</f>
        <v>1</v>
      </c>
      <c r="P15" s="1" t="b">
        <f>IF(NOT(ISBLANK('Heat Index Table'!Q14)),ROUND('CSV-Query'!P14,0)=ROUND('Heat Index Table'!Q14,0),ISBLANK('CSV-Query'!P14))</f>
        <v>1</v>
      </c>
      <c r="Q15" s="1" t="b">
        <f>IF(NOT(ISBLANK('Heat Index Table'!R14)),ROUND('CSV-Query'!Q14,0)=ROUND('Heat Index Table'!R14,0),ISBLANK('CSV-Query'!Q14))</f>
        <v>1</v>
      </c>
      <c r="R15" s="1" t="b">
        <f>IF(NOT(ISBLANK('Heat Index Table'!S14)),ROUND('CSV-Query'!R14,0)=ROUND('Heat Index Table'!S14,0),ISBLANK('CSV-Query'!R14))</f>
        <v>1</v>
      </c>
      <c r="S15" s="1" t="b">
        <f>IF(NOT(ISBLANK('Heat Index Table'!T14)),ROUND('CSV-Query'!S14,0)=ROUND('Heat Index Table'!T14,0),ISBLANK('CSV-Query'!S14))</f>
        <v>1</v>
      </c>
      <c r="T15" s="1" t="b">
        <f>IF(NOT(ISBLANK('Heat Index Table'!U14)),ROUND('CSV-Query'!T14,0)=ROUND('Heat Index Table'!U14,0),ISBLANK('CSV-Query'!T14))</f>
        <v>1</v>
      </c>
      <c r="U15" s="1" t="b">
        <f>IF(NOT(ISBLANK('Heat Index Table'!V14)),ROUND('CSV-Query'!U14,0)=ROUND('Heat Index Table'!V14,0),ISBLANK('CSV-Query'!U14))</f>
        <v>1</v>
      </c>
      <c r="V15" s="1" t="b">
        <f>IF(NOT(ISBLANK('Heat Index Table'!W14)),ROUND('CSV-Query'!V14,0)=ROUND('Heat Index Table'!W14,0),ISBLANK('CSV-Query'!V14))</f>
        <v>1</v>
      </c>
      <c r="W15" s="1" t="b">
        <f>IF(NOT(ISBLANK('Heat Index Table'!X14)),ROUND('CSV-Query'!W14,0)=ROUND('Heat Index Table'!X14,0),ISBLANK('CSV-Query'!W14))</f>
        <v>1</v>
      </c>
      <c r="X15" s="1" t="b">
        <f>IF(NOT(ISBLANK('Heat Index Table'!Y14)),ROUND('CSV-Query'!X14,0)=ROUND('Heat Index Table'!Y14,0),ISBLANK('CSV-Query'!X14))</f>
        <v>1</v>
      </c>
      <c r="Y15" s="1" t="b">
        <f>IF(NOT(ISBLANK('Heat Index Table'!Z14)),ROUND('CSV-Query'!Y14,0)=ROUND('Heat Index Table'!Z14,0),ISBLANK('CSV-Query'!Y14))</f>
        <v>1</v>
      </c>
      <c r="Z15" s="1" t="b">
        <f>IF(NOT(ISBLANK('Heat Index Table'!AA14)),ROUND('CSV-Query'!Z14,0)=ROUND('Heat Index Table'!AA14,0),ISBLANK('CSV-Query'!Z14))</f>
        <v>1</v>
      </c>
      <c r="AA15" s="1" t="b">
        <f>IF(NOT(ISBLANK('Heat Index Table'!AB14)),ROUND('CSV-Query'!AA14,0)=ROUND('Heat Index Table'!AB14,0),ISBLANK('CSV-Query'!AA14))</f>
        <v>1</v>
      </c>
      <c r="AB15" s="1" t="b">
        <f>IF(NOT(ISBLANK('Heat Index Table'!AC14)),ROUND('CSV-Query'!AB14,0)=ROUND('Heat Index Table'!AC14,0),ISBLANK('CSV-Query'!AB14))</f>
        <v>1</v>
      </c>
      <c r="AC15" s="1" t="b">
        <f>IF(NOT(ISBLANK('Heat Index Table'!AD14)),ROUND('CSV-Query'!AC14,0)=ROUND('Heat Index Table'!AD14,0),ISBLANK('CSV-Query'!AC14))</f>
        <v>1</v>
      </c>
      <c r="AD15" s="1" t="b">
        <f>IF(NOT(ISBLANK('Heat Index Table'!AE14)),ROUND('CSV-Query'!AD14,0)=ROUND('Heat Index Table'!AE14,0),ISBLANK('CSV-Query'!AD14))</f>
        <v>1</v>
      </c>
      <c r="AE15" s="1" t="b">
        <f>IF(NOT(ISBLANK('Heat Index Table'!AF14)),ROUND('CSV-Query'!AE14,0)=ROUND('Heat Index Table'!AF14,0),ISBLANK('CSV-Query'!AE14))</f>
        <v>1</v>
      </c>
      <c r="AF15" s="1" t="b">
        <f>IF(NOT(ISBLANK('Heat Index Table'!AG14)),ROUND('CSV-Query'!AF14,0)=ROUND('Heat Index Table'!AG14,0),ISBLANK('CSV-Query'!AF14))</f>
        <v>1</v>
      </c>
      <c r="AG15" s="1" t="b">
        <f>IF(NOT(ISBLANK('Heat Index Table'!AH14)),ROUND('CSV-Query'!AG14,0)=ROUND('Heat Index Table'!AH14,0),ISBLANK('CSV-Query'!AG14))</f>
        <v>1</v>
      </c>
      <c r="AH15" s="1" t="b">
        <f>IF(NOT(ISBLANK('Heat Index Table'!AI14)),ROUND('CSV-Query'!AH14,0)=ROUND('Heat Index Table'!AI14,0),ISBLANK('CSV-Query'!AH14))</f>
        <v>1</v>
      </c>
      <c r="AI15" s="1" t="b">
        <f>IF(NOT(ISBLANK('Heat Index Table'!AJ14)),ROUND('CSV-Query'!AI14,0)=ROUND('Heat Index Table'!AJ14,0),ISBLANK('CSV-Query'!AI14))</f>
        <v>1</v>
      </c>
      <c r="AJ15" s="1" t="b">
        <f>IF(NOT(ISBLANK('Heat Index Table'!AK14)),ROUND('CSV-Query'!AJ14,0)=ROUND('Heat Index Table'!AK14,0),ISBLANK('CSV-Query'!AJ14))</f>
        <v>1</v>
      </c>
      <c r="AK15" s="1" t="b">
        <f>IF(NOT(ISBLANK('Heat Index Table'!AL14)),ROUND('CSV-Query'!AK14,0)=ROUND('Heat Index Table'!AL14,0),ISBLANK('CSV-Query'!AK14))</f>
        <v>1</v>
      </c>
      <c r="AL15" s="1" t="b">
        <f>IF(NOT(ISBLANK('Heat Index Table'!AM14)),ROUND('CSV-Query'!AL14,0)=ROUND('Heat Index Table'!AM14,0),ISBLANK('CSV-Query'!AL14))</f>
        <v>1</v>
      </c>
      <c r="AM15" s="1" t="b">
        <f>IF(NOT(ISBLANK('Heat Index Table'!AN14)),ROUND('CSV-Query'!AM14,0)=ROUND('Heat Index Table'!AN14,0),ISBLANK('CSV-Query'!AM14))</f>
        <v>1</v>
      </c>
      <c r="AN15" s="1" t="b">
        <f>IF(NOT(ISBLANK('Heat Index Table'!AO14)),ROUND('CSV-Query'!AN14,0)=ROUND('Heat Index Table'!AO14,0),ISBLANK('CSV-Query'!AN14))</f>
        <v>1</v>
      </c>
      <c r="AO15" s="1" t="b">
        <f>IF(NOT(ISBLANK('Heat Index Table'!AP14)),ROUND('CSV-Query'!AO14,0)=ROUND('Heat Index Table'!AP14,0),ISBLANK('CSV-Query'!AO14))</f>
        <v>1</v>
      </c>
      <c r="AP15" s="1" t="b">
        <f>IF(NOT(ISBLANK('Heat Index Table'!AQ14)),ROUND('CSV-Query'!AP14,0)=ROUND('Heat Index Table'!AQ14,0),ISBLANK('CSV-Query'!AP14))</f>
        <v>1</v>
      </c>
      <c r="AQ15" s="1" t="b">
        <f>IF(NOT(ISBLANK('Heat Index Table'!AR14)),ROUND('CSV-Query'!AQ14,0)=ROUND('Heat Index Table'!AR14,0),ISBLANK('CSV-Query'!AQ14))</f>
        <v>1</v>
      </c>
      <c r="AR15" s="1" t="b">
        <f>IF(NOT(ISBLANK('Heat Index Table'!AS14)),ROUND('CSV-Query'!AR14,0)=ROUND('Heat Index Table'!AS14,0),ISBLANK('CSV-Query'!AR14))</f>
        <v>1</v>
      </c>
      <c r="AS15" s="1" t="b">
        <f>IF(NOT(ISBLANK('Heat Index Table'!AT14)),ROUND('CSV-Query'!AS14,0)=ROUND('Heat Index Table'!AT14,0),ISBLANK('CSV-Query'!AS14))</f>
        <v>1</v>
      </c>
      <c r="AT15" s="1" t="b">
        <f>IF(NOT(ISBLANK('Heat Index Table'!AU14)),ROUND('CSV-Query'!AT14,0)=ROUND('Heat Index Table'!AU14,0),ISBLANK('CSV-Query'!AT14))</f>
        <v>1</v>
      </c>
      <c r="AU15" s="1" t="b">
        <f>IF(NOT(ISBLANK('Heat Index Table'!AV14)),ROUND('CSV-Query'!AU14,0)=ROUND('Heat Index Table'!AV14,0),ISBLANK('CSV-Query'!AU14))</f>
        <v>1</v>
      </c>
      <c r="AV15" s="1" t="b">
        <f>IF(NOT(ISBLANK('Heat Index Table'!AW14)),ROUND('CSV-Query'!AV14,0)=ROUND('Heat Index Table'!AW14,0),ISBLANK('CSV-Query'!AV14))</f>
        <v>1</v>
      </c>
      <c r="AW15" s="1" t="b">
        <f>IF(NOT(ISBLANK('Heat Index Table'!AX14)),ROUND('CSV-Query'!AW14,0)=ROUND('Heat Index Table'!AX14,0),ISBLANK('CSV-Query'!AW14))</f>
        <v>1</v>
      </c>
      <c r="AX15" s="1" t="b">
        <f>IF(NOT(ISBLANK('Heat Index Table'!AY14)),ROUND('CSV-Query'!AX14,0)=ROUND('Heat Index Table'!AY14,0),ISBLANK('CSV-Query'!AX14))</f>
        <v>1</v>
      </c>
    </row>
    <row r="16" spans="1:50" x14ac:dyDescent="0.45">
      <c r="A16" s="1">
        <v>102</v>
      </c>
      <c r="B16" s="1" t="b">
        <f>IF(NOT(ISBLANK('Heat Index Table'!C15)),ROUND('CSV-Query'!B15,0)=ROUND('Heat Index Table'!C15,0),ISBLANK('CSV-Query'!B15))</f>
        <v>1</v>
      </c>
      <c r="C16" s="1" t="b">
        <f>IF(NOT(ISBLANK('Heat Index Table'!D15)),ROUND('CSV-Query'!C15,0)=ROUND('Heat Index Table'!D15,0),ISBLANK('CSV-Query'!C15))</f>
        <v>1</v>
      </c>
      <c r="D16" s="1" t="b">
        <f>IF(NOT(ISBLANK('Heat Index Table'!E15)),ROUND('CSV-Query'!D15,0)=ROUND('Heat Index Table'!E15,0),ISBLANK('CSV-Query'!D15))</f>
        <v>1</v>
      </c>
      <c r="E16" s="1" t="b">
        <f>IF(NOT(ISBLANK('Heat Index Table'!F15)),ROUND('CSV-Query'!E15,0)=ROUND('Heat Index Table'!F15,0),ISBLANK('CSV-Query'!E15))</f>
        <v>1</v>
      </c>
      <c r="F16" s="1" t="b">
        <f>IF(NOT(ISBLANK('Heat Index Table'!G15)),ROUND('CSV-Query'!F15,0)=ROUND('Heat Index Table'!G15,0),ISBLANK('CSV-Query'!F15))</f>
        <v>1</v>
      </c>
      <c r="G16" s="1" t="b">
        <f>IF(NOT(ISBLANK('Heat Index Table'!H15)),ROUND('CSV-Query'!G15,0)=ROUND('Heat Index Table'!H15,0),ISBLANK('CSV-Query'!G15))</f>
        <v>1</v>
      </c>
      <c r="H16" s="1" t="b">
        <f>IF(NOT(ISBLANK('Heat Index Table'!I15)),ROUND('CSV-Query'!H15,0)=ROUND('Heat Index Table'!I15,0),ISBLANK('CSV-Query'!H15))</f>
        <v>1</v>
      </c>
      <c r="I16" s="1" t="b">
        <f>IF(NOT(ISBLANK('Heat Index Table'!J15)),ROUND('CSV-Query'!I15,0)=ROUND('Heat Index Table'!J15,0),ISBLANK('CSV-Query'!I15))</f>
        <v>1</v>
      </c>
      <c r="J16" s="1" t="b">
        <f>IF(NOT(ISBLANK('Heat Index Table'!K15)),ROUND('CSV-Query'!J15,0)=ROUND('Heat Index Table'!K15,0),ISBLANK('CSV-Query'!J15))</f>
        <v>1</v>
      </c>
      <c r="K16" s="1" t="b">
        <f>IF(NOT(ISBLANK('Heat Index Table'!L15)),ROUND('CSV-Query'!K15,0)=ROUND('Heat Index Table'!L15,0),ISBLANK('CSV-Query'!K15))</f>
        <v>1</v>
      </c>
      <c r="L16" s="1" t="b">
        <f>IF(NOT(ISBLANK('Heat Index Table'!M15)),ROUND('CSV-Query'!L15,0)=ROUND('Heat Index Table'!M15,0),ISBLANK('CSV-Query'!L15))</f>
        <v>1</v>
      </c>
      <c r="M16" s="1" t="b">
        <f>IF(NOT(ISBLANK('Heat Index Table'!N15)),ROUND('CSV-Query'!M15,0)=ROUND('Heat Index Table'!N15,0),ISBLANK('CSV-Query'!M15))</f>
        <v>1</v>
      </c>
      <c r="N16" s="1" t="b">
        <f>IF(NOT(ISBLANK('Heat Index Table'!O15)),ROUND('CSV-Query'!N15,0)=ROUND('Heat Index Table'!O15,0),ISBLANK('CSV-Query'!N15))</f>
        <v>1</v>
      </c>
      <c r="O16" s="1" t="b">
        <f>IF(NOT(ISBLANK('Heat Index Table'!P15)),ROUND('CSV-Query'!O15,0)=ROUND('Heat Index Table'!P15,0),ISBLANK('CSV-Query'!O15))</f>
        <v>1</v>
      </c>
      <c r="P16" s="1" t="b">
        <f>IF(NOT(ISBLANK('Heat Index Table'!Q15)),ROUND('CSV-Query'!P15,0)=ROUND('Heat Index Table'!Q15,0),ISBLANK('CSV-Query'!P15))</f>
        <v>1</v>
      </c>
      <c r="Q16" s="1" t="b">
        <f>IF(NOT(ISBLANK('Heat Index Table'!R15)),ROUND('CSV-Query'!Q15,0)=ROUND('Heat Index Table'!R15,0),ISBLANK('CSV-Query'!Q15))</f>
        <v>1</v>
      </c>
      <c r="R16" s="1" t="b">
        <f>IF(NOT(ISBLANK('Heat Index Table'!S15)),ROUND('CSV-Query'!R15,0)=ROUND('Heat Index Table'!S15,0),ISBLANK('CSV-Query'!R15))</f>
        <v>1</v>
      </c>
      <c r="S16" s="1" t="b">
        <f>IF(NOT(ISBLANK('Heat Index Table'!T15)),ROUND('CSV-Query'!S15,0)=ROUND('Heat Index Table'!T15,0),ISBLANK('CSV-Query'!S15))</f>
        <v>1</v>
      </c>
      <c r="T16" s="1" t="b">
        <f>IF(NOT(ISBLANK('Heat Index Table'!U15)),ROUND('CSV-Query'!T15,0)=ROUND('Heat Index Table'!U15,0),ISBLANK('CSV-Query'!T15))</f>
        <v>1</v>
      </c>
      <c r="U16" s="1" t="b">
        <f>IF(NOT(ISBLANK('Heat Index Table'!V15)),ROUND('CSV-Query'!U15,0)=ROUND('Heat Index Table'!V15,0),ISBLANK('CSV-Query'!U15))</f>
        <v>1</v>
      </c>
      <c r="V16" s="1" t="b">
        <f>IF(NOT(ISBLANK('Heat Index Table'!W15)),ROUND('CSV-Query'!V15,0)=ROUND('Heat Index Table'!W15,0),ISBLANK('CSV-Query'!V15))</f>
        <v>1</v>
      </c>
      <c r="W16" s="1" t="b">
        <f>IF(NOT(ISBLANK('Heat Index Table'!X15)),ROUND('CSV-Query'!W15,0)=ROUND('Heat Index Table'!X15,0),ISBLANK('CSV-Query'!W15))</f>
        <v>1</v>
      </c>
      <c r="X16" s="1" t="b">
        <f>IF(NOT(ISBLANK('Heat Index Table'!Y15)),ROUND('CSV-Query'!X15,0)=ROUND('Heat Index Table'!Y15,0),ISBLANK('CSV-Query'!X15))</f>
        <v>1</v>
      </c>
      <c r="Y16" s="1" t="b">
        <f>IF(NOT(ISBLANK('Heat Index Table'!Z15)),ROUND('CSV-Query'!Y15,0)=ROUND('Heat Index Table'!Z15,0),ISBLANK('CSV-Query'!Y15))</f>
        <v>1</v>
      </c>
      <c r="Z16" s="1" t="b">
        <f>IF(NOT(ISBLANK('Heat Index Table'!AA15)),ROUND('CSV-Query'!Z15,0)=ROUND('Heat Index Table'!AA15,0),ISBLANK('CSV-Query'!Z15))</f>
        <v>1</v>
      </c>
      <c r="AA16" s="1" t="b">
        <f>IF(NOT(ISBLANK('Heat Index Table'!AB15)),ROUND('CSV-Query'!AA15,0)=ROUND('Heat Index Table'!AB15,0),ISBLANK('CSV-Query'!AA15))</f>
        <v>1</v>
      </c>
      <c r="AB16" s="1" t="b">
        <f>IF(NOT(ISBLANK('Heat Index Table'!AC15)),ROUND('CSV-Query'!AB15,0)=ROUND('Heat Index Table'!AC15,0),ISBLANK('CSV-Query'!AB15))</f>
        <v>1</v>
      </c>
      <c r="AC16" s="1" t="b">
        <f>IF(NOT(ISBLANK('Heat Index Table'!AD15)),ROUND('CSV-Query'!AC15,0)=ROUND('Heat Index Table'!AD15,0),ISBLANK('CSV-Query'!AC15))</f>
        <v>1</v>
      </c>
      <c r="AD16" s="1" t="b">
        <f>IF(NOT(ISBLANK('Heat Index Table'!AE15)),ROUND('CSV-Query'!AD15,0)=ROUND('Heat Index Table'!AE15,0),ISBLANK('CSV-Query'!AD15))</f>
        <v>1</v>
      </c>
      <c r="AE16" s="1" t="b">
        <f>IF(NOT(ISBLANK('Heat Index Table'!AF15)),ROUND('CSV-Query'!AE15,0)=ROUND('Heat Index Table'!AF15,0),ISBLANK('CSV-Query'!AE15))</f>
        <v>1</v>
      </c>
      <c r="AF16" s="1" t="b">
        <f>IF(NOT(ISBLANK('Heat Index Table'!AG15)),ROUND('CSV-Query'!AF15,0)=ROUND('Heat Index Table'!AG15,0),ISBLANK('CSV-Query'!AF15))</f>
        <v>1</v>
      </c>
      <c r="AG16" s="1" t="b">
        <f>IF(NOT(ISBLANK('Heat Index Table'!AH15)),ROUND('CSV-Query'!AG15,0)=ROUND('Heat Index Table'!AH15,0),ISBLANK('CSV-Query'!AG15))</f>
        <v>1</v>
      </c>
      <c r="AH16" s="1" t="b">
        <f>IF(NOT(ISBLANK('Heat Index Table'!AI15)),ROUND('CSV-Query'!AH15,0)=ROUND('Heat Index Table'!AI15,0),ISBLANK('CSV-Query'!AH15))</f>
        <v>1</v>
      </c>
      <c r="AI16" s="1" t="b">
        <f>IF(NOT(ISBLANK('Heat Index Table'!AJ15)),ROUND('CSV-Query'!AI15,0)=ROUND('Heat Index Table'!AJ15,0),ISBLANK('CSV-Query'!AI15))</f>
        <v>1</v>
      </c>
      <c r="AJ16" s="1" t="b">
        <f>IF(NOT(ISBLANK('Heat Index Table'!AK15)),ROUND('CSV-Query'!AJ15,0)=ROUND('Heat Index Table'!AK15,0),ISBLANK('CSV-Query'!AJ15))</f>
        <v>1</v>
      </c>
      <c r="AK16" s="1" t="b">
        <f>IF(NOT(ISBLANK('Heat Index Table'!AL15)),ROUND('CSV-Query'!AK15,0)=ROUND('Heat Index Table'!AL15,0),ISBLANK('CSV-Query'!AK15))</f>
        <v>1</v>
      </c>
      <c r="AL16" s="1" t="b">
        <f>IF(NOT(ISBLANK('Heat Index Table'!AM15)),ROUND('CSV-Query'!AL15,0)=ROUND('Heat Index Table'!AM15,0),ISBLANK('CSV-Query'!AL15))</f>
        <v>1</v>
      </c>
      <c r="AM16" s="1" t="b">
        <f>IF(NOT(ISBLANK('Heat Index Table'!AN15)),ROUND('CSV-Query'!AM15,0)=ROUND('Heat Index Table'!AN15,0),ISBLANK('CSV-Query'!AM15))</f>
        <v>1</v>
      </c>
      <c r="AN16" s="1" t="b">
        <f>IF(NOT(ISBLANK('Heat Index Table'!AO15)),ROUND('CSV-Query'!AN15,0)=ROUND('Heat Index Table'!AO15,0),ISBLANK('CSV-Query'!AN15))</f>
        <v>1</v>
      </c>
      <c r="AO16" s="1" t="b">
        <f>IF(NOT(ISBLANK('Heat Index Table'!AP15)),ROUND('CSV-Query'!AO15,0)=ROUND('Heat Index Table'!AP15,0),ISBLANK('CSV-Query'!AO15))</f>
        <v>1</v>
      </c>
      <c r="AP16" s="1" t="b">
        <f>IF(NOT(ISBLANK('Heat Index Table'!AQ15)),ROUND('CSV-Query'!AP15,0)=ROUND('Heat Index Table'!AQ15,0),ISBLANK('CSV-Query'!AP15))</f>
        <v>1</v>
      </c>
      <c r="AQ16" s="1" t="b">
        <f>IF(NOT(ISBLANK('Heat Index Table'!AR15)),ROUND('CSV-Query'!AQ15,0)=ROUND('Heat Index Table'!AR15,0),ISBLANK('CSV-Query'!AQ15))</f>
        <v>1</v>
      </c>
      <c r="AR16" s="1" t="b">
        <f>IF(NOT(ISBLANK('Heat Index Table'!AS15)),ROUND('CSV-Query'!AR15,0)=ROUND('Heat Index Table'!AS15,0),ISBLANK('CSV-Query'!AR15))</f>
        <v>1</v>
      </c>
      <c r="AS16" s="1" t="b">
        <f>IF(NOT(ISBLANK('Heat Index Table'!AT15)),ROUND('CSV-Query'!AS15,0)=ROUND('Heat Index Table'!AT15,0),ISBLANK('CSV-Query'!AS15))</f>
        <v>1</v>
      </c>
      <c r="AT16" s="1" t="b">
        <f>IF(NOT(ISBLANK('Heat Index Table'!AU15)),ROUND('CSV-Query'!AT15,0)=ROUND('Heat Index Table'!AU15,0),ISBLANK('CSV-Query'!AT15))</f>
        <v>1</v>
      </c>
      <c r="AU16" s="1" t="b">
        <f>IF(NOT(ISBLANK('Heat Index Table'!AV15)),ROUND('CSV-Query'!AU15,0)=ROUND('Heat Index Table'!AV15,0),ISBLANK('CSV-Query'!AU15))</f>
        <v>1</v>
      </c>
      <c r="AV16" s="1" t="b">
        <f>IF(NOT(ISBLANK('Heat Index Table'!AW15)),ROUND('CSV-Query'!AV15,0)=ROUND('Heat Index Table'!AW15,0),ISBLANK('CSV-Query'!AV15))</f>
        <v>1</v>
      </c>
      <c r="AW16" s="1" t="b">
        <f>IF(NOT(ISBLANK('Heat Index Table'!AX15)),ROUND('CSV-Query'!AW15,0)=ROUND('Heat Index Table'!AX15,0),ISBLANK('CSV-Query'!AW15))</f>
        <v>1</v>
      </c>
      <c r="AX16" s="1" t="b">
        <f>IF(NOT(ISBLANK('Heat Index Table'!AY15)),ROUND('CSV-Query'!AX15,0)=ROUND('Heat Index Table'!AY15,0),ISBLANK('CSV-Query'!AX15))</f>
        <v>1</v>
      </c>
    </row>
    <row r="17" spans="1:50" x14ac:dyDescent="0.45">
      <c r="A17" s="1">
        <v>100</v>
      </c>
      <c r="B17" s="1" t="b">
        <f>IF(NOT(ISBLANK('Heat Index Table'!C16)),ROUND('CSV-Query'!B16,0)=ROUND('Heat Index Table'!C16,0),ISBLANK('CSV-Query'!B16))</f>
        <v>1</v>
      </c>
      <c r="C17" s="1" t="b">
        <f>IF(NOT(ISBLANK('Heat Index Table'!D16)),ROUND('CSV-Query'!C16,0)=ROUND('Heat Index Table'!D16,0),ISBLANK('CSV-Query'!C16))</f>
        <v>1</v>
      </c>
      <c r="D17" s="1" t="b">
        <f>IF(NOT(ISBLANK('Heat Index Table'!E16)),ROUND('CSV-Query'!D16,0)=ROUND('Heat Index Table'!E16,0),ISBLANK('CSV-Query'!D16))</f>
        <v>1</v>
      </c>
      <c r="E17" s="1" t="b">
        <f>IF(NOT(ISBLANK('Heat Index Table'!F16)),ROUND('CSV-Query'!E16,0)=ROUND('Heat Index Table'!F16,0),ISBLANK('CSV-Query'!E16))</f>
        <v>1</v>
      </c>
      <c r="F17" s="1" t="b">
        <f>IF(NOT(ISBLANK('Heat Index Table'!G16)),ROUND('CSV-Query'!F16,0)=ROUND('Heat Index Table'!G16,0),ISBLANK('CSV-Query'!F16))</f>
        <v>1</v>
      </c>
      <c r="G17" s="1" t="b">
        <f>IF(NOT(ISBLANK('Heat Index Table'!H16)),ROUND('CSV-Query'!G16,0)=ROUND('Heat Index Table'!H16,0),ISBLANK('CSV-Query'!G16))</f>
        <v>1</v>
      </c>
      <c r="H17" s="1" t="b">
        <f>IF(NOT(ISBLANK('Heat Index Table'!I16)),ROUND('CSV-Query'!H16,0)=ROUND('Heat Index Table'!I16,0),ISBLANK('CSV-Query'!H16))</f>
        <v>1</v>
      </c>
      <c r="I17" s="1" t="b">
        <f>IF(NOT(ISBLANK('Heat Index Table'!J16)),ROUND('CSV-Query'!I16,0)=ROUND('Heat Index Table'!J16,0),ISBLANK('CSV-Query'!I16))</f>
        <v>1</v>
      </c>
      <c r="J17" s="1" t="b">
        <f>IF(NOT(ISBLANK('Heat Index Table'!K16)),ROUND('CSV-Query'!J16,0)=ROUND('Heat Index Table'!K16,0),ISBLANK('CSV-Query'!J16))</f>
        <v>1</v>
      </c>
      <c r="K17" s="1" t="b">
        <f>IF(NOT(ISBLANK('Heat Index Table'!L16)),ROUND('CSV-Query'!K16,0)=ROUND('Heat Index Table'!L16,0),ISBLANK('CSV-Query'!K16))</f>
        <v>1</v>
      </c>
      <c r="L17" s="1" t="b">
        <f>IF(NOT(ISBLANK('Heat Index Table'!M16)),ROUND('CSV-Query'!L16,0)=ROUND('Heat Index Table'!M16,0),ISBLANK('CSV-Query'!L16))</f>
        <v>1</v>
      </c>
      <c r="M17" s="1" t="b">
        <f>IF(NOT(ISBLANK('Heat Index Table'!N16)),ROUND('CSV-Query'!M16,0)=ROUND('Heat Index Table'!N16,0),ISBLANK('CSV-Query'!M16))</f>
        <v>1</v>
      </c>
      <c r="N17" s="1" t="b">
        <f>IF(NOT(ISBLANK('Heat Index Table'!O16)),ROUND('CSV-Query'!N16,0)=ROUND('Heat Index Table'!O16,0),ISBLANK('CSV-Query'!N16))</f>
        <v>1</v>
      </c>
      <c r="O17" s="1" t="b">
        <f>IF(NOT(ISBLANK('Heat Index Table'!P16)),ROUND('CSV-Query'!O16,0)=ROUND('Heat Index Table'!P16,0),ISBLANK('CSV-Query'!O16))</f>
        <v>1</v>
      </c>
      <c r="P17" s="1" t="b">
        <f>IF(NOT(ISBLANK('Heat Index Table'!Q16)),ROUND('CSV-Query'!P16,0)=ROUND('Heat Index Table'!Q16,0),ISBLANK('CSV-Query'!P16))</f>
        <v>1</v>
      </c>
      <c r="Q17" s="1" t="b">
        <f>IF(NOT(ISBLANK('Heat Index Table'!R16)),ROUND('CSV-Query'!Q16,0)=ROUND('Heat Index Table'!R16,0),ISBLANK('CSV-Query'!Q16))</f>
        <v>1</v>
      </c>
      <c r="R17" s="1" t="b">
        <f>IF(NOT(ISBLANK('Heat Index Table'!S16)),ROUND('CSV-Query'!R16,0)=ROUND('Heat Index Table'!S16,0),ISBLANK('CSV-Query'!R16))</f>
        <v>1</v>
      </c>
      <c r="S17" s="1" t="b">
        <f>IF(NOT(ISBLANK('Heat Index Table'!T16)),ROUND('CSV-Query'!S16,0)=ROUND('Heat Index Table'!T16,0),ISBLANK('CSV-Query'!S16))</f>
        <v>1</v>
      </c>
      <c r="T17" s="1" t="b">
        <f>IF(NOT(ISBLANK('Heat Index Table'!U16)),ROUND('CSV-Query'!T16,0)=ROUND('Heat Index Table'!U16,0),ISBLANK('CSV-Query'!T16))</f>
        <v>1</v>
      </c>
      <c r="U17" s="1" t="b">
        <f>IF(NOT(ISBLANK('Heat Index Table'!V16)),ROUND('CSV-Query'!U16,0)=ROUND('Heat Index Table'!V16,0),ISBLANK('CSV-Query'!U16))</f>
        <v>1</v>
      </c>
      <c r="V17" s="1" t="b">
        <f>IF(NOT(ISBLANK('Heat Index Table'!W16)),ROUND('CSV-Query'!V16,0)=ROUND('Heat Index Table'!W16,0),ISBLANK('CSV-Query'!V16))</f>
        <v>1</v>
      </c>
      <c r="W17" s="1" t="b">
        <f>IF(NOT(ISBLANK('Heat Index Table'!X16)),ROUND('CSV-Query'!W16,0)=ROUND('Heat Index Table'!X16,0),ISBLANK('CSV-Query'!W16))</f>
        <v>1</v>
      </c>
      <c r="X17" s="1" t="b">
        <f>IF(NOT(ISBLANK('Heat Index Table'!Y16)),ROUND('CSV-Query'!X16,0)=ROUND('Heat Index Table'!Y16,0),ISBLANK('CSV-Query'!X16))</f>
        <v>1</v>
      </c>
      <c r="Y17" s="1" t="b">
        <f>IF(NOT(ISBLANK('Heat Index Table'!Z16)),ROUND('CSV-Query'!Y16,0)=ROUND('Heat Index Table'!Z16,0),ISBLANK('CSV-Query'!Y16))</f>
        <v>1</v>
      </c>
      <c r="Z17" s="1" t="b">
        <f>IF(NOT(ISBLANK('Heat Index Table'!AA16)),ROUND('CSV-Query'!Z16,0)=ROUND('Heat Index Table'!AA16,0),ISBLANK('CSV-Query'!Z16))</f>
        <v>1</v>
      </c>
      <c r="AA17" s="1" t="b">
        <f>IF(NOT(ISBLANK('Heat Index Table'!AB16)),ROUND('CSV-Query'!AA16,0)=ROUND('Heat Index Table'!AB16,0),ISBLANK('CSV-Query'!AA16))</f>
        <v>1</v>
      </c>
      <c r="AB17" s="1" t="b">
        <f>IF(NOT(ISBLANK('Heat Index Table'!AC16)),ROUND('CSV-Query'!AB16,0)=ROUND('Heat Index Table'!AC16,0),ISBLANK('CSV-Query'!AB16))</f>
        <v>1</v>
      </c>
      <c r="AC17" s="1" t="b">
        <f>IF(NOT(ISBLANK('Heat Index Table'!AD16)),ROUND('CSV-Query'!AC16,0)=ROUND('Heat Index Table'!AD16,0),ISBLANK('CSV-Query'!AC16))</f>
        <v>1</v>
      </c>
      <c r="AD17" s="1" t="b">
        <f>IF(NOT(ISBLANK('Heat Index Table'!AE16)),ROUND('CSV-Query'!AD16,0)=ROUND('Heat Index Table'!AE16,0),ISBLANK('CSV-Query'!AD16))</f>
        <v>1</v>
      </c>
      <c r="AE17" s="1" t="b">
        <f>IF(NOT(ISBLANK('Heat Index Table'!AF16)),ROUND('CSV-Query'!AE16,0)=ROUND('Heat Index Table'!AF16,0),ISBLANK('CSV-Query'!AE16))</f>
        <v>1</v>
      </c>
      <c r="AF17" s="1" t="b">
        <f>IF(NOT(ISBLANK('Heat Index Table'!AG16)),ROUND('CSV-Query'!AF16,0)=ROUND('Heat Index Table'!AG16,0),ISBLANK('CSV-Query'!AF16))</f>
        <v>1</v>
      </c>
      <c r="AG17" s="1" t="b">
        <f>IF(NOT(ISBLANK('Heat Index Table'!AH16)),ROUND('CSV-Query'!AG16,0)=ROUND('Heat Index Table'!AH16,0),ISBLANK('CSV-Query'!AG16))</f>
        <v>1</v>
      </c>
      <c r="AH17" s="1" t="b">
        <f>IF(NOT(ISBLANK('Heat Index Table'!AI16)),ROUND('CSV-Query'!AH16,0)=ROUND('Heat Index Table'!AI16,0),ISBLANK('CSV-Query'!AH16))</f>
        <v>1</v>
      </c>
      <c r="AI17" s="1" t="b">
        <f>IF(NOT(ISBLANK('Heat Index Table'!AJ16)),ROUND('CSV-Query'!AI16,0)=ROUND('Heat Index Table'!AJ16,0),ISBLANK('CSV-Query'!AI16))</f>
        <v>1</v>
      </c>
      <c r="AJ17" s="1" t="b">
        <f>IF(NOT(ISBLANK('Heat Index Table'!AK16)),ROUND('CSV-Query'!AJ16,0)=ROUND('Heat Index Table'!AK16,0),ISBLANK('CSV-Query'!AJ16))</f>
        <v>1</v>
      </c>
      <c r="AK17" s="1" t="b">
        <f>IF(NOT(ISBLANK('Heat Index Table'!AL16)),ROUND('CSV-Query'!AK16,0)=ROUND('Heat Index Table'!AL16,0),ISBLANK('CSV-Query'!AK16))</f>
        <v>1</v>
      </c>
      <c r="AL17" s="1" t="b">
        <f>IF(NOT(ISBLANK('Heat Index Table'!AM16)),ROUND('CSV-Query'!AL16,0)=ROUND('Heat Index Table'!AM16,0),ISBLANK('CSV-Query'!AL16))</f>
        <v>1</v>
      </c>
      <c r="AM17" s="1" t="b">
        <f>IF(NOT(ISBLANK('Heat Index Table'!AN16)),ROUND('CSV-Query'!AM16,0)=ROUND('Heat Index Table'!AN16,0),ISBLANK('CSV-Query'!AM16))</f>
        <v>1</v>
      </c>
      <c r="AN17" s="1" t="b">
        <f>IF(NOT(ISBLANK('Heat Index Table'!AO16)),ROUND('CSV-Query'!AN16,0)=ROUND('Heat Index Table'!AO16,0),ISBLANK('CSV-Query'!AN16))</f>
        <v>1</v>
      </c>
      <c r="AO17" s="1" t="b">
        <f>IF(NOT(ISBLANK('Heat Index Table'!AP16)),ROUND('CSV-Query'!AO16,0)=ROUND('Heat Index Table'!AP16,0),ISBLANK('CSV-Query'!AO16))</f>
        <v>1</v>
      </c>
      <c r="AP17" s="1" t="b">
        <f>IF(NOT(ISBLANK('Heat Index Table'!AQ16)),ROUND('CSV-Query'!AP16,0)=ROUND('Heat Index Table'!AQ16,0),ISBLANK('CSV-Query'!AP16))</f>
        <v>1</v>
      </c>
      <c r="AQ17" s="1" t="b">
        <f>IF(NOT(ISBLANK('Heat Index Table'!AR16)),ROUND('CSV-Query'!AQ16,0)=ROUND('Heat Index Table'!AR16,0),ISBLANK('CSV-Query'!AQ16))</f>
        <v>1</v>
      </c>
      <c r="AR17" s="1" t="b">
        <f>IF(NOT(ISBLANK('Heat Index Table'!AS16)),ROUND('CSV-Query'!AR16,0)=ROUND('Heat Index Table'!AS16,0),ISBLANK('CSV-Query'!AR16))</f>
        <v>1</v>
      </c>
      <c r="AS17" s="1" t="b">
        <f>IF(NOT(ISBLANK('Heat Index Table'!AT16)),ROUND('CSV-Query'!AS16,0)=ROUND('Heat Index Table'!AT16,0),ISBLANK('CSV-Query'!AS16))</f>
        <v>1</v>
      </c>
      <c r="AT17" s="1" t="b">
        <f>IF(NOT(ISBLANK('Heat Index Table'!AU16)),ROUND('CSV-Query'!AT16,0)=ROUND('Heat Index Table'!AU16,0),ISBLANK('CSV-Query'!AT16))</f>
        <v>1</v>
      </c>
      <c r="AU17" s="1" t="b">
        <f>IF(NOT(ISBLANK('Heat Index Table'!AV16)),ROUND('CSV-Query'!AU16,0)=ROUND('Heat Index Table'!AV16,0),ISBLANK('CSV-Query'!AU16))</f>
        <v>1</v>
      </c>
      <c r="AV17" s="1" t="b">
        <f>IF(NOT(ISBLANK('Heat Index Table'!AW16)),ROUND('CSV-Query'!AV16,0)=ROUND('Heat Index Table'!AW16,0),ISBLANK('CSV-Query'!AV16))</f>
        <v>1</v>
      </c>
      <c r="AW17" s="1" t="b">
        <f>IF(NOT(ISBLANK('Heat Index Table'!AX16)),ROUND('CSV-Query'!AW16,0)=ROUND('Heat Index Table'!AX16,0),ISBLANK('CSV-Query'!AW16))</f>
        <v>1</v>
      </c>
      <c r="AX17" s="1" t="b">
        <f>IF(NOT(ISBLANK('Heat Index Table'!AY16)),ROUND('CSV-Query'!AX16,0)=ROUND('Heat Index Table'!AY16,0),ISBLANK('CSV-Query'!AX16))</f>
        <v>1</v>
      </c>
    </row>
    <row r="18" spans="1:50" x14ac:dyDescent="0.45">
      <c r="A18" s="1">
        <v>98</v>
      </c>
      <c r="B18" s="1" t="b">
        <f>IF(NOT(ISBLANK('Heat Index Table'!C17)),ROUND('CSV-Query'!B17,0)=ROUND('Heat Index Table'!C17,0),ISBLANK('CSV-Query'!B17))</f>
        <v>1</v>
      </c>
      <c r="C18" s="1" t="b">
        <f>IF(NOT(ISBLANK('Heat Index Table'!D17)),ROUND('CSV-Query'!C17,0)=ROUND('Heat Index Table'!D17,0),ISBLANK('CSV-Query'!C17))</f>
        <v>1</v>
      </c>
      <c r="D18" s="1" t="b">
        <f>IF(NOT(ISBLANK('Heat Index Table'!E17)),ROUND('CSV-Query'!D17,0)=ROUND('Heat Index Table'!E17,0),ISBLANK('CSV-Query'!D17))</f>
        <v>1</v>
      </c>
      <c r="E18" s="1" t="b">
        <f>IF(NOT(ISBLANK('Heat Index Table'!F17)),ROUND('CSV-Query'!E17,0)=ROUND('Heat Index Table'!F17,0),ISBLANK('CSV-Query'!E17))</f>
        <v>1</v>
      </c>
      <c r="F18" s="1" t="b">
        <f>IF(NOT(ISBLANK('Heat Index Table'!G17)),ROUND('CSV-Query'!F17,0)=ROUND('Heat Index Table'!G17,0),ISBLANK('CSV-Query'!F17))</f>
        <v>1</v>
      </c>
      <c r="G18" s="1" t="b">
        <f>IF(NOT(ISBLANK('Heat Index Table'!H17)),ROUND('CSV-Query'!G17,0)=ROUND('Heat Index Table'!H17,0),ISBLANK('CSV-Query'!G17))</f>
        <v>1</v>
      </c>
      <c r="H18" s="1" t="b">
        <f>IF(NOT(ISBLANK('Heat Index Table'!I17)),ROUND('CSV-Query'!H17,0)=ROUND('Heat Index Table'!I17,0),ISBLANK('CSV-Query'!H17))</f>
        <v>1</v>
      </c>
      <c r="I18" s="1" t="b">
        <f>IF(NOT(ISBLANK('Heat Index Table'!J17)),ROUND('CSV-Query'!I17,0)=ROUND('Heat Index Table'!J17,0),ISBLANK('CSV-Query'!I17))</f>
        <v>1</v>
      </c>
      <c r="J18" s="1" t="b">
        <f>IF(NOT(ISBLANK('Heat Index Table'!K17)),ROUND('CSV-Query'!J17,0)=ROUND('Heat Index Table'!K17,0),ISBLANK('CSV-Query'!J17))</f>
        <v>1</v>
      </c>
      <c r="K18" s="1" t="b">
        <f>IF(NOT(ISBLANK('Heat Index Table'!L17)),ROUND('CSV-Query'!K17,0)=ROUND('Heat Index Table'!L17,0),ISBLANK('CSV-Query'!K17))</f>
        <v>1</v>
      </c>
      <c r="L18" s="1" t="b">
        <f>IF(NOT(ISBLANK('Heat Index Table'!M17)),ROUND('CSV-Query'!L17,0)=ROUND('Heat Index Table'!M17,0),ISBLANK('CSV-Query'!L17))</f>
        <v>1</v>
      </c>
      <c r="M18" s="1" t="b">
        <f>IF(NOT(ISBLANK('Heat Index Table'!N17)),ROUND('CSV-Query'!M17,0)=ROUND('Heat Index Table'!N17,0),ISBLANK('CSV-Query'!M17))</f>
        <v>1</v>
      </c>
      <c r="N18" s="1" t="b">
        <f>IF(NOT(ISBLANK('Heat Index Table'!O17)),ROUND('CSV-Query'!N17,0)=ROUND('Heat Index Table'!O17,0),ISBLANK('CSV-Query'!N17))</f>
        <v>1</v>
      </c>
      <c r="O18" s="1" t="b">
        <f>IF(NOT(ISBLANK('Heat Index Table'!P17)),ROUND('CSV-Query'!O17,0)=ROUND('Heat Index Table'!P17,0),ISBLANK('CSV-Query'!O17))</f>
        <v>1</v>
      </c>
      <c r="P18" s="1" t="b">
        <f>IF(NOT(ISBLANK('Heat Index Table'!Q17)),ROUND('CSV-Query'!P17,0)=ROUND('Heat Index Table'!Q17,0),ISBLANK('CSV-Query'!P17))</f>
        <v>1</v>
      </c>
      <c r="Q18" s="1" t="b">
        <f>IF(NOT(ISBLANK('Heat Index Table'!R17)),ROUND('CSV-Query'!Q17,0)=ROUND('Heat Index Table'!R17,0),ISBLANK('CSV-Query'!Q17))</f>
        <v>1</v>
      </c>
      <c r="R18" s="1" t="b">
        <f>IF(NOT(ISBLANK('Heat Index Table'!S17)),ROUND('CSV-Query'!R17,0)=ROUND('Heat Index Table'!S17,0),ISBLANK('CSV-Query'!R17))</f>
        <v>1</v>
      </c>
      <c r="S18" s="1" t="b">
        <f>IF(NOT(ISBLANK('Heat Index Table'!T17)),ROUND('CSV-Query'!S17,0)=ROUND('Heat Index Table'!T17,0),ISBLANK('CSV-Query'!S17))</f>
        <v>1</v>
      </c>
      <c r="T18" s="1" t="b">
        <f>IF(NOT(ISBLANK('Heat Index Table'!U17)),ROUND('CSV-Query'!T17,0)=ROUND('Heat Index Table'!U17,0),ISBLANK('CSV-Query'!T17))</f>
        <v>1</v>
      </c>
      <c r="U18" s="1" t="b">
        <f>IF(NOT(ISBLANK('Heat Index Table'!V17)),ROUND('CSV-Query'!U17,0)=ROUND('Heat Index Table'!V17,0),ISBLANK('CSV-Query'!U17))</f>
        <v>1</v>
      </c>
      <c r="V18" s="1" t="b">
        <f>IF(NOT(ISBLANK('Heat Index Table'!W17)),ROUND('CSV-Query'!V17,0)=ROUND('Heat Index Table'!W17,0),ISBLANK('CSV-Query'!V17))</f>
        <v>1</v>
      </c>
      <c r="W18" s="1" t="b">
        <f>IF(NOT(ISBLANK('Heat Index Table'!X17)),ROUND('CSV-Query'!W17,0)=ROUND('Heat Index Table'!X17,0),ISBLANK('CSV-Query'!W17))</f>
        <v>1</v>
      </c>
      <c r="X18" s="1" t="b">
        <f>IF(NOT(ISBLANK('Heat Index Table'!Y17)),ROUND('CSV-Query'!X17,0)=ROUND('Heat Index Table'!Y17,0),ISBLANK('CSV-Query'!X17))</f>
        <v>1</v>
      </c>
      <c r="Y18" s="1" t="b">
        <f>IF(NOT(ISBLANK('Heat Index Table'!Z17)),ROUND('CSV-Query'!Y17,0)=ROUND('Heat Index Table'!Z17,0),ISBLANK('CSV-Query'!Y17))</f>
        <v>1</v>
      </c>
      <c r="Z18" s="1" t="b">
        <f>IF(NOT(ISBLANK('Heat Index Table'!AA17)),ROUND('CSV-Query'!Z17,0)=ROUND('Heat Index Table'!AA17,0),ISBLANK('CSV-Query'!Z17))</f>
        <v>1</v>
      </c>
      <c r="AA18" s="1" t="b">
        <f>IF(NOT(ISBLANK('Heat Index Table'!AB17)),ROUND('CSV-Query'!AA17,0)=ROUND('Heat Index Table'!AB17,0),ISBLANK('CSV-Query'!AA17))</f>
        <v>1</v>
      </c>
      <c r="AB18" s="1" t="b">
        <f>IF(NOT(ISBLANK('Heat Index Table'!AC17)),ROUND('CSV-Query'!AB17,0)=ROUND('Heat Index Table'!AC17,0),ISBLANK('CSV-Query'!AB17))</f>
        <v>1</v>
      </c>
      <c r="AC18" s="1" t="b">
        <f>IF(NOT(ISBLANK('Heat Index Table'!AD17)),ROUND('CSV-Query'!AC17,0)=ROUND('Heat Index Table'!AD17,0),ISBLANK('CSV-Query'!AC17))</f>
        <v>1</v>
      </c>
      <c r="AD18" s="1" t="b">
        <f>IF(NOT(ISBLANK('Heat Index Table'!AE17)),ROUND('CSV-Query'!AD17,0)=ROUND('Heat Index Table'!AE17,0),ISBLANK('CSV-Query'!AD17))</f>
        <v>1</v>
      </c>
      <c r="AE18" s="1" t="b">
        <f>IF(NOT(ISBLANK('Heat Index Table'!AF17)),ROUND('CSV-Query'!AE17,0)=ROUND('Heat Index Table'!AF17,0),ISBLANK('CSV-Query'!AE17))</f>
        <v>1</v>
      </c>
      <c r="AF18" s="1" t="b">
        <f>IF(NOT(ISBLANK('Heat Index Table'!AG17)),ROUND('CSV-Query'!AF17,0)=ROUND('Heat Index Table'!AG17,0),ISBLANK('CSV-Query'!AF17))</f>
        <v>1</v>
      </c>
      <c r="AG18" s="1" t="b">
        <f>IF(NOT(ISBLANK('Heat Index Table'!AH17)),ROUND('CSV-Query'!AG17,0)=ROUND('Heat Index Table'!AH17,0),ISBLANK('CSV-Query'!AG17))</f>
        <v>1</v>
      </c>
      <c r="AH18" s="1" t="b">
        <f>IF(NOT(ISBLANK('Heat Index Table'!AI17)),ROUND('CSV-Query'!AH17,0)=ROUND('Heat Index Table'!AI17,0),ISBLANK('CSV-Query'!AH17))</f>
        <v>1</v>
      </c>
      <c r="AI18" s="1" t="b">
        <f>IF(NOT(ISBLANK('Heat Index Table'!AJ17)),ROUND('CSV-Query'!AI17,0)=ROUND('Heat Index Table'!AJ17,0),ISBLANK('CSV-Query'!AI17))</f>
        <v>1</v>
      </c>
      <c r="AJ18" s="1" t="b">
        <f>IF(NOT(ISBLANK('Heat Index Table'!AK17)),ROUND('CSV-Query'!AJ17,0)=ROUND('Heat Index Table'!AK17,0),ISBLANK('CSV-Query'!AJ17))</f>
        <v>1</v>
      </c>
      <c r="AK18" s="1" t="b">
        <f>IF(NOT(ISBLANK('Heat Index Table'!AL17)),ROUND('CSV-Query'!AK17,0)=ROUND('Heat Index Table'!AL17,0),ISBLANK('CSV-Query'!AK17))</f>
        <v>1</v>
      </c>
      <c r="AL18" s="1" t="b">
        <f>IF(NOT(ISBLANK('Heat Index Table'!AM17)),ROUND('CSV-Query'!AL17,0)=ROUND('Heat Index Table'!AM17,0),ISBLANK('CSV-Query'!AL17))</f>
        <v>1</v>
      </c>
      <c r="AM18" s="1" t="b">
        <f>IF(NOT(ISBLANK('Heat Index Table'!AN17)),ROUND('CSV-Query'!AM17,0)=ROUND('Heat Index Table'!AN17,0),ISBLANK('CSV-Query'!AM17))</f>
        <v>1</v>
      </c>
      <c r="AN18" s="1" t="b">
        <f>IF(NOT(ISBLANK('Heat Index Table'!AO17)),ROUND('CSV-Query'!AN17,0)=ROUND('Heat Index Table'!AO17,0),ISBLANK('CSV-Query'!AN17))</f>
        <v>1</v>
      </c>
      <c r="AO18" s="1" t="b">
        <f>IF(NOT(ISBLANK('Heat Index Table'!AP17)),ROUND('CSV-Query'!AO17,0)=ROUND('Heat Index Table'!AP17,0),ISBLANK('CSV-Query'!AO17))</f>
        <v>1</v>
      </c>
      <c r="AP18" s="1" t="b">
        <f>IF(NOT(ISBLANK('Heat Index Table'!AQ17)),ROUND('CSV-Query'!AP17,0)=ROUND('Heat Index Table'!AQ17,0),ISBLANK('CSV-Query'!AP17))</f>
        <v>1</v>
      </c>
      <c r="AQ18" s="1" t="b">
        <f>IF(NOT(ISBLANK('Heat Index Table'!AR17)),ROUND('CSV-Query'!AQ17,0)=ROUND('Heat Index Table'!AR17,0),ISBLANK('CSV-Query'!AQ17))</f>
        <v>1</v>
      </c>
      <c r="AR18" s="1" t="b">
        <f>IF(NOT(ISBLANK('Heat Index Table'!AS17)),ROUND('CSV-Query'!AR17,0)=ROUND('Heat Index Table'!AS17,0),ISBLANK('CSV-Query'!AR17))</f>
        <v>1</v>
      </c>
      <c r="AS18" s="1" t="b">
        <f>IF(NOT(ISBLANK('Heat Index Table'!AT17)),ROUND('CSV-Query'!AS17,0)=ROUND('Heat Index Table'!AT17,0),ISBLANK('CSV-Query'!AS17))</f>
        <v>1</v>
      </c>
      <c r="AT18" s="1" t="b">
        <f>IF(NOT(ISBLANK('Heat Index Table'!AU17)),ROUND('CSV-Query'!AT17,0)=ROUND('Heat Index Table'!AU17,0),ISBLANK('CSV-Query'!AT17))</f>
        <v>1</v>
      </c>
      <c r="AU18" s="1" t="b">
        <f>IF(NOT(ISBLANK('Heat Index Table'!AV17)),ROUND('CSV-Query'!AU17,0)=ROUND('Heat Index Table'!AV17,0),ISBLANK('CSV-Query'!AU17))</f>
        <v>1</v>
      </c>
      <c r="AV18" s="1" t="b">
        <f>IF(NOT(ISBLANK('Heat Index Table'!AW17)),ROUND('CSV-Query'!AV17,0)=ROUND('Heat Index Table'!AW17,0),ISBLANK('CSV-Query'!AV17))</f>
        <v>1</v>
      </c>
      <c r="AW18" s="1" t="b">
        <f>IF(NOT(ISBLANK('Heat Index Table'!AX17)),ROUND('CSV-Query'!AW17,0)=ROUND('Heat Index Table'!AX17,0),ISBLANK('CSV-Query'!AW17))</f>
        <v>1</v>
      </c>
      <c r="AX18" s="1" t="b">
        <f>IF(NOT(ISBLANK('Heat Index Table'!AY17)),ROUND('CSV-Query'!AX17,0)=ROUND('Heat Index Table'!AY17,0),ISBLANK('CSV-Query'!AX17))</f>
        <v>1</v>
      </c>
    </row>
    <row r="19" spans="1:50" x14ac:dyDescent="0.45">
      <c r="A19" s="1">
        <v>96</v>
      </c>
      <c r="B19" s="1" t="b">
        <f>IF(NOT(ISBLANK('Heat Index Table'!C18)),ROUND('CSV-Query'!B18,0)=ROUND('Heat Index Table'!C18,0),ISBLANK('CSV-Query'!B18))</f>
        <v>1</v>
      </c>
      <c r="C19" s="1" t="b">
        <f>IF(NOT(ISBLANK('Heat Index Table'!D18)),ROUND('CSV-Query'!C18,0)=ROUND('Heat Index Table'!D18,0),ISBLANK('CSV-Query'!C18))</f>
        <v>1</v>
      </c>
      <c r="D19" s="1" t="b">
        <f>IF(NOT(ISBLANK('Heat Index Table'!E18)),ROUND('CSV-Query'!D18,0)=ROUND('Heat Index Table'!E18,0),ISBLANK('CSV-Query'!D18))</f>
        <v>1</v>
      </c>
      <c r="E19" s="1" t="b">
        <f>IF(NOT(ISBLANK('Heat Index Table'!F18)),ROUND('CSV-Query'!E18,0)=ROUND('Heat Index Table'!F18,0),ISBLANK('CSV-Query'!E18))</f>
        <v>1</v>
      </c>
      <c r="F19" s="1" t="b">
        <f>IF(NOT(ISBLANK('Heat Index Table'!G18)),ROUND('CSV-Query'!F18,0)=ROUND('Heat Index Table'!G18,0),ISBLANK('CSV-Query'!F18))</f>
        <v>1</v>
      </c>
      <c r="G19" s="1" t="b">
        <f>IF(NOT(ISBLANK('Heat Index Table'!H18)),ROUND('CSV-Query'!G18,0)=ROUND('Heat Index Table'!H18,0),ISBLANK('CSV-Query'!G18))</f>
        <v>1</v>
      </c>
      <c r="H19" s="1" t="b">
        <f>IF(NOT(ISBLANK('Heat Index Table'!I18)),ROUND('CSV-Query'!H18,0)=ROUND('Heat Index Table'!I18,0),ISBLANK('CSV-Query'!H18))</f>
        <v>1</v>
      </c>
      <c r="I19" s="1" t="b">
        <f>IF(NOT(ISBLANK('Heat Index Table'!J18)),ROUND('CSV-Query'!I18,0)=ROUND('Heat Index Table'!J18,0),ISBLANK('CSV-Query'!I18))</f>
        <v>1</v>
      </c>
      <c r="J19" s="1" t="b">
        <f>IF(NOT(ISBLANK('Heat Index Table'!K18)),ROUND('CSV-Query'!J18,0)=ROUND('Heat Index Table'!K18,0),ISBLANK('CSV-Query'!J18))</f>
        <v>1</v>
      </c>
      <c r="K19" s="1" t="b">
        <f>IF(NOT(ISBLANK('Heat Index Table'!L18)),ROUND('CSV-Query'!K18,0)=ROUND('Heat Index Table'!L18,0),ISBLANK('CSV-Query'!K18))</f>
        <v>1</v>
      </c>
      <c r="L19" s="1" t="b">
        <f>IF(NOT(ISBLANK('Heat Index Table'!M18)),ROUND('CSV-Query'!L18,0)=ROUND('Heat Index Table'!M18,0),ISBLANK('CSV-Query'!L18))</f>
        <v>1</v>
      </c>
      <c r="M19" s="1" t="b">
        <f>IF(NOT(ISBLANK('Heat Index Table'!N18)),ROUND('CSV-Query'!M18,0)=ROUND('Heat Index Table'!N18,0),ISBLANK('CSV-Query'!M18))</f>
        <v>1</v>
      </c>
      <c r="N19" s="1" t="b">
        <f>IF(NOT(ISBLANK('Heat Index Table'!O18)),ROUND('CSV-Query'!N18,0)=ROUND('Heat Index Table'!O18,0),ISBLANK('CSV-Query'!N18))</f>
        <v>1</v>
      </c>
      <c r="O19" s="1" t="b">
        <f>IF(NOT(ISBLANK('Heat Index Table'!P18)),ROUND('CSV-Query'!O18,0)=ROUND('Heat Index Table'!P18,0),ISBLANK('CSV-Query'!O18))</f>
        <v>1</v>
      </c>
      <c r="P19" s="1" t="b">
        <f>IF(NOT(ISBLANK('Heat Index Table'!Q18)),ROUND('CSV-Query'!P18,0)=ROUND('Heat Index Table'!Q18,0),ISBLANK('CSV-Query'!P18))</f>
        <v>1</v>
      </c>
      <c r="Q19" s="1" t="b">
        <f>IF(NOT(ISBLANK('Heat Index Table'!R18)),ROUND('CSV-Query'!Q18,0)=ROUND('Heat Index Table'!R18,0),ISBLANK('CSV-Query'!Q18))</f>
        <v>1</v>
      </c>
      <c r="R19" s="1" t="b">
        <f>IF(NOT(ISBLANK('Heat Index Table'!S18)),ROUND('CSV-Query'!R18,0)=ROUND('Heat Index Table'!S18,0),ISBLANK('CSV-Query'!R18))</f>
        <v>1</v>
      </c>
      <c r="S19" s="1" t="b">
        <f>IF(NOT(ISBLANK('Heat Index Table'!T18)),ROUND('CSV-Query'!S18,0)=ROUND('Heat Index Table'!T18,0),ISBLANK('CSV-Query'!S18))</f>
        <v>1</v>
      </c>
      <c r="T19" s="1" t="b">
        <f>IF(NOT(ISBLANK('Heat Index Table'!U18)),ROUND('CSV-Query'!T18,0)=ROUND('Heat Index Table'!U18,0),ISBLANK('CSV-Query'!T18))</f>
        <v>1</v>
      </c>
      <c r="U19" s="1" t="b">
        <f>IF(NOT(ISBLANK('Heat Index Table'!V18)),ROUND('CSV-Query'!U18,0)=ROUND('Heat Index Table'!V18,0),ISBLANK('CSV-Query'!U18))</f>
        <v>1</v>
      </c>
      <c r="V19" s="1" t="b">
        <f>IF(NOT(ISBLANK('Heat Index Table'!W18)),ROUND('CSV-Query'!V18,0)=ROUND('Heat Index Table'!W18,0),ISBLANK('CSV-Query'!V18))</f>
        <v>1</v>
      </c>
      <c r="W19" s="1" t="b">
        <f>IF(NOT(ISBLANK('Heat Index Table'!X18)),ROUND('CSV-Query'!W18,0)=ROUND('Heat Index Table'!X18,0),ISBLANK('CSV-Query'!W18))</f>
        <v>1</v>
      </c>
      <c r="X19" s="1" t="b">
        <f>IF(NOT(ISBLANK('Heat Index Table'!Y18)),ROUND('CSV-Query'!X18,0)=ROUND('Heat Index Table'!Y18,0),ISBLANK('CSV-Query'!X18))</f>
        <v>1</v>
      </c>
      <c r="Y19" s="1" t="b">
        <f>IF(NOT(ISBLANK('Heat Index Table'!Z18)),ROUND('CSV-Query'!Y18,0)=ROUND('Heat Index Table'!Z18,0),ISBLANK('CSV-Query'!Y18))</f>
        <v>1</v>
      </c>
      <c r="Z19" s="1" t="b">
        <f>IF(NOT(ISBLANK('Heat Index Table'!AA18)),ROUND('CSV-Query'!Z18,0)=ROUND('Heat Index Table'!AA18,0),ISBLANK('CSV-Query'!Z18))</f>
        <v>1</v>
      </c>
      <c r="AA19" s="1" t="b">
        <f>IF(NOT(ISBLANK('Heat Index Table'!AB18)),ROUND('CSV-Query'!AA18,0)=ROUND('Heat Index Table'!AB18,0),ISBLANK('CSV-Query'!AA18))</f>
        <v>1</v>
      </c>
      <c r="AB19" s="1" t="b">
        <f>IF(NOT(ISBLANK('Heat Index Table'!AC18)),ROUND('CSV-Query'!AB18,0)=ROUND('Heat Index Table'!AC18,0),ISBLANK('CSV-Query'!AB18))</f>
        <v>1</v>
      </c>
      <c r="AC19" s="1" t="b">
        <f>IF(NOT(ISBLANK('Heat Index Table'!AD18)),ROUND('CSV-Query'!AC18,0)=ROUND('Heat Index Table'!AD18,0),ISBLANK('CSV-Query'!AC18))</f>
        <v>1</v>
      </c>
      <c r="AD19" s="1" t="b">
        <f>IF(NOT(ISBLANK('Heat Index Table'!AE18)),ROUND('CSV-Query'!AD18,0)=ROUND('Heat Index Table'!AE18,0),ISBLANK('CSV-Query'!AD18))</f>
        <v>1</v>
      </c>
      <c r="AE19" s="1" t="b">
        <f>IF(NOT(ISBLANK('Heat Index Table'!AF18)),ROUND('CSV-Query'!AE18,0)=ROUND('Heat Index Table'!AF18,0),ISBLANK('CSV-Query'!AE18))</f>
        <v>1</v>
      </c>
      <c r="AF19" s="1" t="b">
        <f>IF(NOT(ISBLANK('Heat Index Table'!AG18)),ROUND('CSV-Query'!AF18,0)=ROUND('Heat Index Table'!AG18,0),ISBLANK('CSV-Query'!AF18))</f>
        <v>1</v>
      </c>
      <c r="AG19" s="1" t="b">
        <f>IF(NOT(ISBLANK('Heat Index Table'!AH18)),ROUND('CSV-Query'!AG18,0)=ROUND('Heat Index Table'!AH18,0),ISBLANK('CSV-Query'!AG18))</f>
        <v>1</v>
      </c>
      <c r="AH19" s="1" t="b">
        <f>IF(NOT(ISBLANK('Heat Index Table'!AI18)),ROUND('CSV-Query'!AH18,0)=ROUND('Heat Index Table'!AI18,0),ISBLANK('CSV-Query'!AH18))</f>
        <v>1</v>
      </c>
      <c r="AI19" s="1" t="b">
        <f>IF(NOT(ISBLANK('Heat Index Table'!AJ18)),ROUND('CSV-Query'!AI18,0)=ROUND('Heat Index Table'!AJ18,0),ISBLANK('CSV-Query'!AI18))</f>
        <v>1</v>
      </c>
      <c r="AJ19" s="1" t="b">
        <f>IF(NOT(ISBLANK('Heat Index Table'!AK18)),ROUND('CSV-Query'!AJ18,0)=ROUND('Heat Index Table'!AK18,0),ISBLANK('CSV-Query'!AJ18))</f>
        <v>1</v>
      </c>
      <c r="AK19" s="1" t="b">
        <f>IF(NOT(ISBLANK('Heat Index Table'!AL18)),ROUND('CSV-Query'!AK18,0)=ROUND('Heat Index Table'!AL18,0),ISBLANK('CSV-Query'!AK18))</f>
        <v>1</v>
      </c>
      <c r="AL19" s="1" t="b">
        <f>IF(NOT(ISBLANK('Heat Index Table'!AM18)),ROUND('CSV-Query'!AL18,0)=ROUND('Heat Index Table'!AM18,0),ISBLANK('CSV-Query'!AL18))</f>
        <v>1</v>
      </c>
      <c r="AM19" s="1" t="b">
        <f>IF(NOT(ISBLANK('Heat Index Table'!AN18)),ROUND('CSV-Query'!AM18,0)=ROUND('Heat Index Table'!AN18,0),ISBLANK('CSV-Query'!AM18))</f>
        <v>1</v>
      </c>
      <c r="AN19" s="1" t="b">
        <f>IF(NOT(ISBLANK('Heat Index Table'!AO18)),ROUND('CSV-Query'!AN18,0)=ROUND('Heat Index Table'!AO18,0),ISBLANK('CSV-Query'!AN18))</f>
        <v>1</v>
      </c>
      <c r="AO19" s="1" t="b">
        <f>IF(NOT(ISBLANK('Heat Index Table'!AP18)),ROUND('CSV-Query'!AO18,0)=ROUND('Heat Index Table'!AP18,0),ISBLANK('CSV-Query'!AO18))</f>
        <v>1</v>
      </c>
      <c r="AP19" s="1" t="b">
        <f>IF(NOT(ISBLANK('Heat Index Table'!AQ18)),ROUND('CSV-Query'!AP18,0)=ROUND('Heat Index Table'!AQ18,0),ISBLANK('CSV-Query'!AP18))</f>
        <v>1</v>
      </c>
      <c r="AQ19" s="1" t="b">
        <f>IF(NOT(ISBLANK('Heat Index Table'!AR18)),ROUND('CSV-Query'!AQ18,0)=ROUND('Heat Index Table'!AR18,0),ISBLANK('CSV-Query'!AQ18))</f>
        <v>1</v>
      </c>
      <c r="AR19" s="1" t="b">
        <f>IF(NOT(ISBLANK('Heat Index Table'!AS18)),ROUND('CSV-Query'!AR18,0)=ROUND('Heat Index Table'!AS18,0),ISBLANK('CSV-Query'!AR18))</f>
        <v>1</v>
      </c>
      <c r="AS19" s="1" t="b">
        <f>IF(NOT(ISBLANK('Heat Index Table'!AT18)),ROUND('CSV-Query'!AS18,0)=ROUND('Heat Index Table'!AT18,0),ISBLANK('CSV-Query'!AS18))</f>
        <v>1</v>
      </c>
      <c r="AT19" s="1" t="b">
        <f>IF(NOT(ISBLANK('Heat Index Table'!AU18)),ROUND('CSV-Query'!AT18,0)=ROUND('Heat Index Table'!AU18,0),ISBLANK('CSV-Query'!AT18))</f>
        <v>1</v>
      </c>
      <c r="AU19" s="1" t="b">
        <f>IF(NOT(ISBLANK('Heat Index Table'!AV18)),ROUND('CSV-Query'!AU18,0)=ROUND('Heat Index Table'!AV18,0),ISBLANK('CSV-Query'!AU18))</f>
        <v>1</v>
      </c>
      <c r="AV19" s="1" t="b">
        <f>IF(NOT(ISBLANK('Heat Index Table'!AW18)),ROUND('CSV-Query'!AV18,0)=ROUND('Heat Index Table'!AW18,0),ISBLANK('CSV-Query'!AV18))</f>
        <v>1</v>
      </c>
      <c r="AW19" s="1" t="b">
        <f>IF(NOT(ISBLANK('Heat Index Table'!AX18)),ROUND('CSV-Query'!AW18,0)=ROUND('Heat Index Table'!AX18,0),ISBLANK('CSV-Query'!AW18))</f>
        <v>1</v>
      </c>
      <c r="AX19" s="1" t="b">
        <f>IF(NOT(ISBLANK('Heat Index Table'!AY18)),ROUND('CSV-Query'!AX18,0)=ROUND('Heat Index Table'!AY18,0),ISBLANK('CSV-Query'!AX18))</f>
        <v>1</v>
      </c>
    </row>
    <row r="20" spans="1:50" x14ac:dyDescent="0.45">
      <c r="A20" s="1">
        <v>94</v>
      </c>
      <c r="B20" s="1" t="b">
        <f>IF(NOT(ISBLANK('Heat Index Table'!C19)),ROUND('CSV-Query'!B19,0)=ROUND('Heat Index Table'!C19,0),ISBLANK('CSV-Query'!B19))</f>
        <v>1</v>
      </c>
      <c r="C20" s="1" t="b">
        <f>IF(NOT(ISBLANK('Heat Index Table'!D19)),ROUND('CSV-Query'!C19,0)=ROUND('Heat Index Table'!D19,0),ISBLANK('CSV-Query'!C19))</f>
        <v>1</v>
      </c>
      <c r="D20" s="1" t="b">
        <f>IF(NOT(ISBLANK('Heat Index Table'!E19)),ROUND('CSV-Query'!D19,0)=ROUND('Heat Index Table'!E19,0),ISBLANK('CSV-Query'!D19))</f>
        <v>1</v>
      </c>
      <c r="E20" s="1" t="b">
        <f>IF(NOT(ISBLANK('Heat Index Table'!F19)),ROUND('CSV-Query'!E19,0)=ROUND('Heat Index Table'!F19,0),ISBLANK('CSV-Query'!E19))</f>
        <v>1</v>
      </c>
      <c r="F20" s="1" t="b">
        <f>IF(NOT(ISBLANK('Heat Index Table'!G19)),ROUND('CSV-Query'!F19,0)=ROUND('Heat Index Table'!G19,0),ISBLANK('CSV-Query'!F19))</f>
        <v>1</v>
      </c>
      <c r="G20" s="1" t="b">
        <f>IF(NOT(ISBLANK('Heat Index Table'!H19)),ROUND('CSV-Query'!G19,0)=ROUND('Heat Index Table'!H19,0),ISBLANK('CSV-Query'!G19))</f>
        <v>1</v>
      </c>
      <c r="H20" s="1" t="b">
        <f>IF(NOT(ISBLANK('Heat Index Table'!I19)),ROUND('CSV-Query'!H19,0)=ROUND('Heat Index Table'!I19,0),ISBLANK('CSV-Query'!H19))</f>
        <v>1</v>
      </c>
      <c r="I20" s="1" t="b">
        <f>IF(NOT(ISBLANK('Heat Index Table'!J19)),ROUND('CSV-Query'!I19,0)=ROUND('Heat Index Table'!J19,0),ISBLANK('CSV-Query'!I19))</f>
        <v>1</v>
      </c>
      <c r="J20" s="1" t="b">
        <f>IF(NOT(ISBLANK('Heat Index Table'!K19)),ROUND('CSV-Query'!J19,0)=ROUND('Heat Index Table'!K19,0),ISBLANK('CSV-Query'!J19))</f>
        <v>1</v>
      </c>
      <c r="K20" s="1" t="b">
        <f>IF(NOT(ISBLANK('Heat Index Table'!L19)),ROUND('CSV-Query'!K19,0)=ROUND('Heat Index Table'!L19,0),ISBLANK('CSV-Query'!K19))</f>
        <v>1</v>
      </c>
      <c r="L20" s="1" t="b">
        <f>IF(NOT(ISBLANK('Heat Index Table'!M19)),ROUND('CSV-Query'!L19,0)=ROUND('Heat Index Table'!M19,0),ISBLANK('CSV-Query'!L19))</f>
        <v>1</v>
      </c>
      <c r="M20" s="1" t="b">
        <f>IF(NOT(ISBLANK('Heat Index Table'!N19)),ROUND('CSV-Query'!M19,0)=ROUND('Heat Index Table'!N19,0),ISBLANK('CSV-Query'!M19))</f>
        <v>1</v>
      </c>
      <c r="N20" s="1" t="b">
        <f>IF(NOT(ISBLANK('Heat Index Table'!O19)),ROUND('CSV-Query'!N19,0)=ROUND('Heat Index Table'!O19,0),ISBLANK('CSV-Query'!N19))</f>
        <v>1</v>
      </c>
      <c r="O20" s="1" t="b">
        <f>IF(NOT(ISBLANK('Heat Index Table'!P19)),ROUND('CSV-Query'!O19,0)=ROUND('Heat Index Table'!P19,0),ISBLANK('CSV-Query'!O19))</f>
        <v>1</v>
      </c>
      <c r="P20" s="1" t="b">
        <f>IF(NOT(ISBLANK('Heat Index Table'!Q19)),ROUND('CSV-Query'!P19,0)=ROUND('Heat Index Table'!Q19,0),ISBLANK('CSV-Query'!P19))</f>
        <v>1</v>
      </c>
      <c r="Q20" s="1" t="b">
        <f>IF(NOT(ISBLANK('Heat Index Table'!R19)),ROUND('CSV-Query'!Q19,0)=ROUND('Heat Index Table'!R19,0),ISBLANK('CSV-Query'!Q19))</f>
        <v>1</v>
      </c>
      <c r="R20" s="1" t="b">
        <f>IF(NOT(ISBLANK('Heat Index Table'!S19)),ROUND('CSV-Query'!R19,0)=ROUND('Heat Index Table'!S19,0),ISBLANK('CSV-Query'!R19))</f>
        <v>1</v>
      </c>
      <c r="S20" s="1" t="b">
        <f>IF(NOT(ISBLANK('Heat Index Table'!T19)),ROUND('CSV-Query'!S19,0)=ROUND('Heat Index Table'!T19,0),ISBLANK('CSV-Query'!S19))</f>
        <v>1</v>
      </c>
      <c r="T20" s="1" t="b">
        <f>IF(NOT(ISBLANK('Heat Index Table'!U19)),ROUND('CSV-Query'!T19,0)=ROUND('Heat Index Table'!U19,0),ISBLANK('CSV-Query'!T19))</f>
        <v>1</v>
      </c>
      <c r="U20" s="1" t="b">
        <f>IF(NOT(ISBLANK('Heat Index Table'!V19)),ROUND('CSV-Query'!U19,0)=ROUND('Heat Index Table'!V19,0),ISBLANK('CSV-Query'!U19))</f>
        <v>1</v>
      </c>
      <c r="V20" s="1" t="b">
        <f>IF(NOT(ISBLANK('Heat Index Table'!W19)),ROUND('CSV-Query'!V19,0)=ROUND('Heat Index Table'!W19,0),ISBLANK('CSV-Query'!V19))</f>
        <v>1</v>
      </c>
      <c r="W20" s="1" t="b">
        <f>IF(NOT(ISBLANK('Heat Index Table'!X19)),ROUND('CSV-Query'!W19,0)=ROUND('Heat Index Table'!X19,0),ISBLANK('CSV-Query'!W19))</f>
        <v>1</v>
      </c>
      <c r="X20" s="1" t="b">
        <f>IF(NOT(ISBLANK('Heat Index Table'!Y19)),ROUND('CSV-Query'!X19,0)=ROUND('Heat Index Table'!Y19,0),ISBLANK('CSV-Query'!X19))</f>
        <v>1</v>
      </c>
      <c r="Y20" s="1" t="b">
        <f>IF(NOT(ISBLANK('Heat Index Table'!Z19)),ROUND('CSV-Query'!Y19,0)=ROUND('Heat Index Table'!Z19,0),ISBLANK('CSV-Query'!Y19))</f>
        <v>1</v>
      </c>
      <c r="Z20" s="1" t="b">
        <f>IF(NOT(ISBLANK('Heat Index Table'!AA19)),ROUND('CSV-Query'!Z19,0)=ROUND('Heat Index Table'!AA19,0),ISBLANK('CSV-Query'!Z19))</f>
        <v>1</v>
      </c>
      <c r="AA20" s="1" t="b">
        <f>IF(NOT(ISBLANK('Heat Index Table'!AB19)),ROUND('CSV-Query'!AA19,0)=ROUND('Heat Index Table'!AB19,0),ISBLANK('CSV-Query'!AA19))</f>
        <v>1</v>
      </c>
      <c r="AB20" s="1" t="b">
        <f>IF(NOT(ISBLANK('Heat Index Table'!AC19)),ROUND('CSV-Query'!AB19,0)=ROUND('Heat Index Table'!AC19,0),ISBLANK('CSV-Query'!AB19))</f>
        <v>1</v>
      </c>
      <c r="AC20" s="1" t="b">
        <f>IF(NOT(ISBLANK('Heat Index Table'!AD19)),ROUND('CSV-Query'!AC19,0)=ROUND('Heat Index Table'!AD19,0),ISBLANK('CSV-Query'!AC19))</f>
        <v>1</v>
      </c>
      <c r="AD20" s="1" t="b">
        <f>IF(NOT(ISBLANK('Heat Index Table'!AE19)),ROUND('CSV-Query'!AD19,0)=ROUND('Heat Index Table'!AE19,0),ISBLANK('CSV-Query'!AD19))</f>
        <v>1</v>
      </c>
      <c r="AE20" s="1" t="b">
        <f>IF(NOT(ISBLANK('Heat Index Table'!AF19)),ROUND('CSV-Query'!AE19,0)=ROUND('Heat Index Table'!AF19,0),ISBLANK('CSV-Query'!AE19))</f>
        <v>1</v>
      </c>
      <c r="AF20" s="1" t="b">
        <f>IF(NOT(ISBLANK('Heat Index Table'!AG19)),ROUND('CSV-Query'!AF19,0)=ROUND('Heat Index Table'!AG19,0),ISBLANK('CSV-Query'!AF19))</f>
        <v>1</v>
      </c>
      <c r="AG20" s="1" t="b">
        <f>IF(NOT(ISBLANK('Heat Index Table'!AH19)),ROUND('CSV-Query'!AG19,0)=ROUND('Heat Index Table'!AH19,0),ISBLANK('CSV-Query'!AG19))</f>
        <v>1</v>
      </c>
      <c r="AH20" s="1" t="b">
        <f>IF(NOT(ISBLANK('Heat Index Table'!AI19)),ROUND('CSV-Query'!AH19,0)=ROUND('Heat Index Table'!AI19,0),ISBLANK('CSV-Query'!AH19))</f>
        <v>1</v>
      </c>
      <c r="AI20" s="1" t="b">
        <f>IF(NOT(ISBLANK('Heat Index Table'!AJ19)),ROUND('CSV-Query'!AI19,0)=ROUND('Heat Index Table'!AJ19,0),ISBLANK('CSV-Query'!AI19))</f>
        <v>1</v>
      </c>
      <c r="AJ20" s="1" t="b">
        <f>IF(NOT(ISBLANK('Heat Index Table'!AK19)),ROUND('CSV-Query'!AJ19,0)=ROUND('Heat Index Table'!AK19,0),ISBLANK('CSV-Query'!AJ19))</f>
        <v>1</v>
      </c>
      <c r="AK20" s="1" t="b">
        <f>IF(NOT(ISBLANK('Heat Index Table'!AL19)),ROUND('CSV-Query'!AK19,0)=ROUND('Heat Index Table'!AL19,0),ISBLANK('CSV-Query'!AK19))</f>
        <v>1</v>
      </c>
      <c r="AL20" s="1" t="b">
        <f>IF(NOT(ISBLANK('Heat Index Table'!AM19)),ROUND('CSV-Query'!AL19,0)=ROUND('Heat Index Table'!AM19,0),ISBLANK('CSV-Query'!AL19))</f>
        <v>1</v>
      </c>
      <c r="AM20" s="1" t="b">
        <f>IF(NOT(ISBLANK('Heat Index Table'!AN19)),ROUND('CSV-Query'!AM19,0)=ROUND('Heat Index Table'!AN19,0),ISBLANK('CSV-Query'!AM19))</f>
        <v>1</v>
      </c>
      <c r="AN20" s="1" t="b">
        <f>IF(NOT(ISBLANK('Heat Index Table'!AO19)),ROUND('CSV-Query'!AN19,0)=ROUND('Heat Index Table'!AO19,0),ISBLANK('CSV-Query'!AN19))</f>
        <v>1</v>
      </c>
      <c r="AO20" s="1" t="b">
        <f>IF(NOT(ISBLANK('Heat Index Table'!AP19)),ROUND('CSV-Query'!AO19,0)=ROUND('Heat Index Table'!AP19,0),ISBLANK('CSV-Query'!AO19))</f>
        <v>1</v>
      </c>
      <c r="AP20" s="1" t="b">
        <f>IF(NOT(ISBLANK('Heat Index Table'!AQ19)),ROUND('CSV-Query'!AP19,0)=ROUND('Heat Index Table'!AQ19,0),ISBLANK('CSV-Query'!AP19))</f>
        <v>1</v>
      </c>
      <c r="AQ20" s="1" t="b">
        <f>IF(NOT(ISBLANK('Heat Index Table'!AR19)),ROUND('CSV-Query'!AQ19,0)=ROUND('Heat Index Table'!AR19,0),ISBLANK('CSV-Query'!AQ19))</f>
        <v>1</v>
      </c>
      <c r="AR20" s="1" t="b">
        <f>IF(NOT(ISBLANK('Heat Index Table'!AS19)),ROUND('CSV-Query'!AR19,0)=ROUND('Heat Index Table'!AS19,0),ISBLANK('CSV-Query'!AR19))</f>
        <v>1</v>
      </c>
      <c r="AS20" s="1" t="b">
        <f>IF(NOT(ISBLANK('Heat Index Table'!AT19)),ROUND('CSV-Query'!AS19,0)=ROUND('Heat Index Table'!AT19,0),ISBLANK('CSV-Query'!AS19))</f>
        <v>1</v>
      </c>
      <c r="AT20" s="1" t="b">
        <f>IF(NOT(ISBLANK('Heat Index Table'!AU19)),ROUND('CSV-Query'!AT19,0)=ROUND('Heat Index Table'!AU19,0),ISBLANK('CSV-Query'!AT19))</f>
        <v>1</v>
      </c>
      <c r="AU20" s="1" t="b">
        <f>IF(NOT(ISBLANK('Heat Index Table'!AV19)),ROUND('CSV-Query'!AU19,0)=ROUND('Heat Index Table'!AV19,0),ISBLANK('CSV-Query'!AU19))</f>
        <v>1</v>
      </c>
      <c r="AV20" s="1" t="b">
        <f>IF(NOT(ISBLANK('Heat Index Table'!AW19)),ROUND('CSV-Query'!AV19,0)=ROUND('Heat Index Table'!AW19,0),ISBLANK('CSV-Query'!AV19))</f>
        <v>1</v>
      </c>
      <c r="AW20" s="1" t="b">
        <f>IF(NOT(ISBLANK('Heat Index Table'!AX19)),ROUND('CSV-Query'!AW19,0)=ROUND('Heat Index Table'!AX19,0),ISBLANK('CSV-Query'!AW19))</f>
        <v>1</v>
      </c>
      <c r="AX20" s="1" t="b">
        <f>IF(NOT(ISBLANK('Heat Index Table'!AY19)),ROUND('CSV-Query'!AX19,0)=ROUND('Heat Index Table'!AY19,0),ISBLANK('CSV-Query'!AX19))</f>
        <v>1</v>
      </c>
    </row>
    <row r="21" spans="1:50" x14ac:dyDescent="0.45">
      <c r="A21" s="1">
        <v>92</v>
      </c>
      <c r="B21" s="1" t="b">
        <f>IF(NOT(ISBLANK('Heat Index Table'!C20)),ROUND('CSV-Query'!B20,0)=ROUND('Heat Index Table'!C20,0),ISBLANK('CSV-Query'!B20))</f>
        <v>1</v>
      </c>
      <c r="C21" s="1" t="b">
        <f>IF(NOT(ISBLANK('Heat Index Table'!D20)),ROUND('CSV-Query'!C20,0)=ROUND('Heat Index Table'!D20,0),ISBLANK('CSV-Query'!C20))</f>
        <v>1</v>
      </c>
      <c r="D21" s="1" t="b">
        <f>IF(NOT(ISBLANK('Heat Index Table'!E20)),ROUND('CSV-Query'!D20,0)=ROUND('Heat Index Table'!E20,0),ISBLANK('CSV-Query'!D20))</f>
        <v>1</v>
      </c>
      <c r="E21" s="1" t="b">
        <f>IF(NOT(ISBLANK('Heat Index Table'!F20)),ROUND('CSV-Query'!E20,0)=ROUND('Heat Index Table'!F20,0),ISBLANK('CSV-Query'!E20))</f>
        <v>1</v>
      </c>
      <c r="F21" s="1" t="b">
        <f>IF(NOT(ISBLANK('Heat Index Table'!G20)),ROUND('CSV-Query'!F20,0)=ROUND('Heat Index Table'!G20,0),ISBLANK('CSV-Query'!F20))</f>
        <v>1</v>
      </c>
      <c r="G21" s="1" t="b">
        <f>IF(NOT(ISBLANK('Heat Index Table'!H20)),ROUND('CSV-Query'!G20,0)=ROUND('Heat Index Table'!H20,0),ISBLANK('CSV-Query'!G20))</f>
        <v>1</v>
      </c>
      <c r="H21" s="1" t="b">
        <f>IF(NOT(ISBLANK('Heat Index Table'!I20)),ROUND('CSV-Query'!H20,0)=ROUND('Heat Index Table'!I20,0),ISBLANK('CSV-Query'!H20))</f>
        <v>1</v>
      </c>
      <c r="I21" s="1" t="b">
        <f>IF(NOT(ISBLANK('Heat Index Table'!J20)),ROUND('CSV-Query'!I20,0)=ROUND('Heat Index Table'!J20,0),ISBLANK('CSV-Query'!I20))</f>
        <v>1</v>
      </c>
      <c r="J21" s="1" t="b">
        <f>IF(NOT(ISBLANK('Heat Index Table'!K20)),ROUND('CSV-Query'!J20,0)=ROUND('Heat Index Table'!K20,0),ISBLANK('CSV-Query'!J20))</f>
        <v>1</v>
      </c>
      <c r="K21" s="1" t="b">
        <f>IF(NOT(ISBLANK('Heat Index Table'!L20)),ROUND('CSV-Query'!K20,0)=ROUND('Heat Index Table'!L20,0),ISBLANK('CSV-Query'!K20))</f>
        <v>1</v>
      </c>
      <c r="L21" s="1" t="b">
        <f>IF(NOT(ISBLANK('Heat Index Table'!M20)),ROUND('CSV-Query'!L20,0)=ROUND('Heat Index Table'!M20,0),ISBLANK('CSV-Query'!L20))</f>
        <v>1</v>
      </c>
      <c r="M21" s="1" t="b">
        <f>IF(NOT(ISBLANK('Heat Index Table'!N20)),ROUND('CSV-Query'!M20,0)=ROUND('Heat Index Table'!N20,0),ISBLANK('CSV-Query'!M20))</f>
        <v>1</v>
      </c>
      <c r="N21" s="1" t="b">
        <f>IF(NOT(ISBLANK('Heat Index Table'!O20)),ROUND('CSV-Query'!N20,0)=ROUND('Heat Index Table'!O20,0),ISBLANK('CSV-Query'!N20))</f>
        <v>1</v>
      </c>
      <c r="O21" s="1" t="b">
        <f>IF(NOT(ISBLANK('Heat Index Table'!P20)),ROUND('CSV-Query'!O20,0)=ROUND('Heat Index Table'!P20,0),ISBLANK('CSV-Query'!O20))</f>
        <v>1</v>
      </c>
      <c r="P21" s="1" t="b">
        <f>IF(NOT(ISBLANK('Heat Index Table'!Q20)),ROUND('CSV-Query'!P20,0)=ROUND('Heat Index Table'!Q20,0),ISBLANK('CSV-Query'!P20))</f>
        <v>1</v>
      </c>
      <c r="Q21" s="1" t="b">
        <f>IF(NOT(ISBLANK('Heat Index Table'!R20)),ROUND('CSV-Query'!Q20,0)=ROUND('Heat Index Table'!R20,0),ISBLANK('CSV-Query'!Q20))</f>
        <v>1</v>
      </c>
      <c r="R21" s="1" t="b">
        <f>IF(NOT(ISBLANK('Heat Index Table'!S20)),ROUND('CSV-Query'!R20,0)=ROUND('Heat Index Table'!S20,0),ISBLANK('CSV-Query'!R20))</f>
        <v>1</v>
      </c>
      <c r="S21" s="1" t="b">
        <f>IF(NOT(ISBLANK('Heat Index Table'!T20)),ROUND('CSV-Query'!S20,0)=ROUND('Heat Index Table'!T20,0),ISBLANK('CSV-Query'!S20))</f>
        <v>1</v>
      </c>
      <c r="T21" s="1" t="b">
        <f>IF(NOT(ISBLANK('Heat Index Table'!U20)),ROUND('CSV-Query'!T20,0)=ROUND('Heat Index Table'!U20,0),ISBLANK('CSV-Query'!T20))</f>
        <v>1</v>
      </c>
      <c r="U21" s="1" t="b">
        <f>IF(NOT(ISBLANK('Heat Index Table'!V20)),ROUND('CSV-Query'!U20,0)=ROUND('Heat Index Table'!V20,0),ISBLANK('CSV-Query'!U20))</f>
        <v>1</v>
      </c>
      <c r="V21" s="1" t="b">
        <f>IF(NOT(ISBLANK('Heat Index Table'!W20)),ROUND('CSV-Query'!V20,0)=ROUND('Heat Index Table'!W20,0),ISBLANK('CSV-Query'!V20))</f>
        <v>1</v>
      </c>
      <c r="W21" s="1" t="b">
        <f>IF(NOT(ISBLANK('Heat Index Table'!X20)),ROUND('CSV-Query'!W20,0)=ROUND('Heat Index Table'!X20,0),ISBLANK('CSV-Query'!W20))</f>
        <v>1</v>
      </c>
      <c r="X21" s="1" t="b">
        <f>IF(NOT(ISBLANK('Heat Index Table'!Y20)),ROUND('CSV-Query'!X20,0)=ROUND('Heat Index Table'!Y20,0),ISBLANK('CSV-Query'!X20))</f>
        <v>1</v>
      </c>
      <c r="Y21" s="1" t="b">
        <f>IF(NOT(ISBLANK('Heat Index Table'!Z20)),ROUND('CSV-Query'!Y20,0)=ROUND('Heat Index Table'!Z20,0),ISBLANK('CSV-Query'!Y20))</f>
        <v>1</v>
      </c>
      <c r="Z21" s="1" t="b">
        <f>IF(NOT(ISBLANK('Heat Index Table'!AA20)),ROUND('CSV-Query'!Z20,0)=ROUND('Heat Index Table'!AA20,0),ISBLANK('CSV-Query'!Z20))</f>
        <v>1</v>
      </c>
      <c r="AA21" s="1" t="b">
        <f>IF(NOT(ISBLANK('Heat Index Table'!AB20)),ROUND('CSV-Query'!AA20,0)=ROUND('Heat Index Table'!AB20,0),ISBLANK('CSV-Query'!AA20))</f>
        <v>1</v>
      </c>
      <c r="AB21" s="1" t="b">
        <f>IF(NOT(ISBLANK('Heat Index Table'!AC20)),ROUND('CSV-Query'!AB20,0)=ROUND('Heat Index Table'!AC20,0),ISBLANK('CSV-Query'!AB20))</f>
        <v>1</v>
      </c>
      <c r="AC21" s="1" t="b">
        <f>IF(NOT(ISBLANK('Heat Index Table'!AD20)),ROUND('CSV-Query'!AC20,0)=ROUND('Heat Index Table'!AD20,0),ISBLANK('CSV-Query'!AC20))</f>
        <v>1</v>
      </c>
      <c r="AD21" s="1" t="b">
        <f>IF(NOT(ISBLANK('Heat Index Table'!AE20)),ROUND('CSV-Query'!AD20,0)=ROUND('Heat Index Table'!AE20,0),ISBLANK('CSV-Query'!AD20))</f>
        <v>1</v>
      </c>
      <c r="AE21" s="1" t="b">
        <f>IF(NOT(ISBLANK('Heat Index Table'!AF20)),ROUND('CSV-Query'!AE20,0)=ROUND('Heat Index Table'!AF20,0),ISBLANK('CSV-Query'!AE20))</f>
        <v>1</v>
      </c>
      <c r="AF21" s="1" t="b">
        <f>IF(NOT(ISBLANK('Heat Index Table'!AG20)),ROUND('CSV-Query'!AF20,0)=ROUND('Heat Index Table'!AG20,0),ISBLANK('CSV-Query'!AF20))</f>
        <v>1</v>
      </c>
      <c r="AG21" s="1" t="b">
        <f>IF(NOT(ISBLANK('Heat Index Table'!AH20)),ROUND('CSV-Query'!AG20,0)=ROUND('Heat Index Table'!AH20,0),ISBLANK('CSV-Query'!AG20))</f>
        <v>1</v>
      </c>
      <c r="AH21" s="1" t="b">
        <f>IF(NOT(ISBLANK('Heat Index Table'!AI20)),ROUND('CSV-Query'!AH20,0)=ROUND('Heat Index Table'!AI20,0),ISBLANK('CSV-Query'!AH20))</f>
        <v>1</v>
      </c>
      <c r="AI21" s="1" t="b">
        <f>IF(NOT(ISBLANK('Heat Index Table'!AJ20)),ROUND('CSV-Query'!AI20,0)=ROUND('Heat Index Table'!AJ20,0),ISBLANK('CSV-Query'!AI20))</f>
        <v>1</v>
      </c>
      <c r="AJ21" s="1" t="b">
        <f>IF(NOT(ISBLANK('Heat Index Table'!AK20)),ROUND('CSV-Query'!AJ20,0)=ROUND('Heat Index Table'!AK20,0),ISBLANK('CSV-Query'!AJ20))</f>
        <v>1</v>
      </c>
      <c r="AK21" s="1" t="b">
        <f>IF(NOT(ISBLANK('Heat Index Table'!AL20)),ROUND('CSV-Query'!AK20,0)=ROUND('Heat Index Table'!AL20,0),ISBLANK('CSV-Query'!AK20))</f>
        <v>1</v>
      </c>
      <c r="AL21" s="1" t="b">
        <f>IF(NOT(ISBLANK('Heat Index Table'!AM20)),ROUND('CSV-Query'!AL20,0)=ROUND('Heat Index Table'!AM20,0),ISBLANK('CSV-Query'!AL20))</f>
        <v>1</v>
      </c>
      <c r="AM21" s="1" t="b">
        <f>IF(NOT(ISBLANK('Heat Index Table'!AN20)),ROUND('CSV-Query'!AM20,0)=ROUND('Heat Index Table'!AN20,0),ISBLANK('CSV-Query'!AM20))</f>
        <v>1</v>
      </c>
      <c r="AN21" s="1" t="b">
        <f>IF(NOT(ISBLANK('Heat Index Table'!AO20)),ROUND('CSV-Query'!AN20,0)=ROUND('Heat Index Table'!AO20,0),ISBLANK('CSV-Query'!AN20))</f>
        <v>1</v>
      </c>
      <c r="AO21" s="1" t="b">
        <f>IF(NOT(ISBLANK('Heat Index Table'!AP20)),ROUND('CSV-Query'!AO20,0)=ROUND('Heat Index Table'!AP20,0),ISBLANK('CSV-Query'!AO20))</f>
        <v>1</v>
      </c>
      <c r="AP21" s="1" t="b">
        <f>IF(NOT(ISBLANK('Heat Index Table'!AQ20)),ROUND('CSV-Query'!AP20,0)=ROUND('Heat Index Table'!AQ20,0),ISBLANK('CSV-Query'!AP20))</f>
        <v>1</v>
      </c>
      <c r="AQ21" s="1" t="b">
        <f>IF(NOT(ISBLANK('Heat Index Table'!AR20)),ROUND('CSV-Query'!AQ20,0)=ROUND('Heat Index Table'!AR20,0),ISBLANK('CSV-Query'!AQ20))</f>
        <v>1</v>
      </c>
      <c r="AR21" s="1" t="b">
        <f>IF(NOT(ISBLANK('Heat Index Table'!AS20)),ROUND('CSV-Query'!AR20,0)=ROUND('Heat Index Table'!AS20,0),ISBLANK('CSV-Query'!AR20))</f>
        <v>1</v>
      </c>
      <c r="AS21" s="1" t="b">
        <f>IF(NOT(ISBLANK('Heat Index Table'!AT20)),ROUND('CSV-Query'!AS20,0)=ROUND('Heat Index Table'!AT20,0),ISBLANK('CSV-Query'!AS20))</f>
        <v>1</v>
      </c>
      <c r="AT21" s="1" t="b">
        <f>IF(NOT(ISBLANK('Heat Index Table'!AU20)),ROUND('CSV-Query'!AT20,0)=ROUND('Heat Index Table'!AU20,0),ISBLANK('CSV-Query'!AT20))</f>
        <v>1</v>
      </c>
      <c r="AU21" s="1" t="b">
        <f>IF(NOT(ISBLANK('Heat Index Table'!AV20)),ROUND('CSV-Query'!AU20,0)=ROUND('Heat Index Table'!AV20,0),ISBLANK('CSV-Query'!AU20))</f>
        <v>1</v>
      </c>
      <c r="AV21" s="1" t="b">
        <f>IF(NOT(ISBLANK('Heat Index Table'!AW20)),ROUND('CSV-Query'!AV20,0)=ROUND('Heat Index Table'!AW20,0),ISBLANK('CSV-Query'!AV20))</f>
        <v>1</v>
      </c>
      <c r="AW21" s="1" t="b">
        <f>IF(NOT(ISBLANK('Heat Index Table'!AX20)),ROUND('CSV-Query'!AW20,0)=ROUND('Heat Index Table'!AX20,0),ISBLANK('CSV-Query'!AW20))</f>
        <v>1</v>
      </c>
      <c r="AX21" s="1" t="b">
        <f>IF(NOT(ISBLANK('Heat Index Table'!AY20)),ROUND('CSV-Query'!AX20,0)=ROUND('Heat Index Table'!AY20,0),ISBLANK('CSV-Query'!AX20))</f>
        <v>1</v>
      </c>
    </row>
    <row r="22" spans="1:50" x14ac:dyDescent="0.45">
      <c r="A22" s="1">
        <v>90</v>
      </c>
      <c r="B22" s="1" t="b">
        <f>IF(NOT(ISBLANK('Heat Index Table'!C21)),ROUND('CSV-Query'!B21,0)=ROUND('Heat Index Table'!C21,0),ISBLANK('CSV-Query'!B21))</f>
        <v>1</v>
      </c>
      <c r="C22" s="1" t="b">
        <f>IF(NOT(ISBLANK('Heat Index Table'!D21)),ROUND('CSV-Query'!C21,0)=ROUND('Heat Index Table'!D21,0),ISBLANK('CSV-Query'!C21))</f>
        <v>1</v>
      </c>
      <c r="D22" s="1" t="b">
        <f>IF(NOT(ISBLANK('Heat Index Table'!E21)),ROUND('CSV-Query'!D21,0)=ROUND('Heat Index Table'!E21,0),ISBLANK('CSV-Query'!D21))</f>
        <v>1</v>
      </c>
      <c r="E22" s="1" t="b">
        <f>IF(NOT(ISBLANK('Heat Index Table'!F21)),ROUND('CSV-Query'!E21,0)=ROUND('Heat Index Table'!F21,0),ISBLANK('CSV-Query'!E21))</f>
        <v>1</v>
      </c>
      <c r="F22" s="1" t="b">
        <f>IF(NOT(ISBLANK('Heat Index Table'!G21)),ROUND('CSV-Query'!F21,0)=ROUND('Heat Index Table'!G21,0),ISBLANK('CSV-Query'!F21))</f>
        <v>1</v>
      </c>
      <c r="G22" s="1" t="b">
        <f>IF(NOT(ISBLANK('Heat Index Table'!H21)),ROUND('CSV-Query'!G21,0)=ROUND('Heat Index Table'!H21,0),ISBLANK('CSV-Query'!G21))</f>
        <v>1</v>
      </c>
      <c r="H22" s="1" t="b">
        <f>IF(NOT(ISBLANK('Heat Index Table'!I21)),ROUND('CSV-Query'!H21,0)=ROUND('Heat Index Table'!I21,0),ISBLANK('CSV-Query'!H21))</f>
        <v>1</v>
      </c>
      <c r="I22" s="1" t="b">
        <f>IF(NOT(ISBLANK('Heat Index Table'!J21)),ROUND('CSV-Query'!I21,0)=ROUND('Heat Index Table'!J21,0),ISBLANK('CSV-Query'!I21))</f>
        <v>1</v>
      </c>
      <c r="J22" s="1" t="b">
        <f>IF(NOT(ISBLANK('Heat Index Table'!K21)),ROUND('CSV-Query'!J21,0)=ROUND('Heat Index Table'!K21,0),ISBLANK('CSV-Query'!J21))</f>
        <v>1</v>
      </c>
      <c r="K22" s="1" t="b">
        <f>IF(NOT(ISBLANK('Heat Index Table'!L21)),ROUND('CSV-Query'!K21,0)=ROUND('Heat Index Table'!L21,0),ISBLANK('CSV-Query'!K21))</f>
        <v>1</v>
      </c>
      <c r="L22" s="1" t="b">
        <f>IF(NOT(ISBLANK('Heat Index Table'!M21)),ROUND('CSV-Query'!L21,0)=ROUND('Heat Index Table'!M21,0),ISBLANK('CSV-Query'!L21))</f>
        <v>1</v>
      </c>
      <c r="M22" s="1" t="b">
        <f>IF(NOT(ISBLANK('Heat Index Table'!N21)),ROUND('CSV-Query'!M21,0)=ROUND('Heat Index Table'!N21,0),ISBLANK('CSV-Query'!M21))</f>
        <v>1</v>
      </c>
      <c r="N22" s="1" t="b">
        <f>IF(NOT(ISBLANK('Heat Index Table'!O21)),ROUND('CSV-Query'!N21,0)=ROUND('Heat Index Table'!O21,0),ISBLANK('CSV-Query'!N21))</f>
        <v>1</v>
      </c>
      <c r="O22" s="1" t="b">
        <f>IF(NOT(ISBLANK('Heat Index Table'!P21)),ROUND('CSV-Query'!O21,0)=ROUND('Heat Index Table'!P21,0),ISBLANK('CSV-Query'!O21))</f>
        <v>1</v>
      </c>
      <c r="P22" s="1" t="b">
        <f>IF(NOT(ISBLANK('Heat Index Table'!Q21)),ROUND('CSV-Query'!P21,0)=ROUND('Heat Index Table'!Q21,0),ISBLANK('CSV-Query'!P21))</f>
        <v>1</v>
      </c>
      <c r="Q22" s="1" t="b">
        <f>IF(NOT(ISBLANK('Heat Index Table'!R21)),ROUND('CSV-Query'!Q21,0)=ROUND('Heat Index Table'!R21,0),ISBLANK('CSV-Query'!Q21))</f>
        <v>1</v>
      </c>
      <c r="R22" s="1" t="b">
        <f>IF(NOT(ISBLANK('Heat Index Table'!S21)),ROUND('CSV-Query'!R21,0)=ROUND('Heat Index Table'!S21,0),ISBLANK('CSV-Query'!R21))</f>
        <v>1</v>
      </c>
      <c r="S22" s="1" t="b">
        <f>IF(NOT(ISBLANK('Heat Index Table'!T21)),ROUND('CSV-Query'!S21,0)=ROUND('Heat Index Table'!T21,0),ISBLANK('CSV-Query'!S21))</f>
        <v>1</v>
      </c>
      <c r="T22" s="1" t="b">
        <f>IF(NOT(ISBLANK('Heat Index Table'!U21)),ROUND('CSV-Query'!T21,0)=ROUND('Heat Index Table'!U21,0),ISBLANK('CSV-Query'!T21))</f>
        <v>1</v>
      </c>
      <c r="U22" s="1" t="b">
        <f>IF(NOT(ISBLANK('Heat Index Table'!V21)),ROUND('CSV-Query'!U21,0)=ROUND('Heat Index Table'!V21,0),ISBLANK('CSV-Query'!U21))</f>
        <v>1</v>
      </c>
      <c r="V22" s="1" t="b">
        <f>IF(NOT(ISBLANK('Heat Index Table'!W21)),ROUND('CSV-Query'!V21,0)=ROUND('Heat Index Table'!W21,0),ISBLANK('CSV-Query'!V21))</f>
        <v>1</v>
      </c>
      <c r="W22" s="1" t="b">
        <f>IF(NOT(ISBLANK('Heat Index Table'!X21)),ROUND('CSV-Query'!W21,0)=ROUND('Heat Index Table'!X21,0),ISBLANK('CSV-Query'!W21))</f>
        <v>1</v>
      </c>
      <c r="X22" s="1" t="b">
        <f>IF(NOT(ISBLANK('Heat Index Table'!Y21)),ROUND('CSV-Query'!X21,0)=ROUND('Heat Index Table'!Y21,0),ISBLANK('CSV-Query'!X21))</f>
        <v>1</v>
      </c>
      <c r="Y22" s="1" t="b">
        <f>IF(NOT(ISBLANK('Heat Index Table'!Z21)),ROUND('CSV-Query'!Y21,0)=ROUND('Heat Index Table'!Z21,0),ISBLANK('CSV-Query'!Y21))</f>
        <v>1</v>
      </c>
      <c r="Z22" s="1" t="b">
        <f>IF(NOT(ISBLANK('Heat Index Table'!AA21)),ROUND('CSV-Query'!Z21,0)=ROUND('Heat Index Table'!AA21,0),ISBLANK('CSV-Query'!Z21))</f>
        <v>1</v>
      </c>
      <c r="AA22" s="1" t="b">
        <f>IF(NOT(ISBLANK('Heat Index Table'!AB21)),ROUND('CSV-Query'!AA21,0)=ROUND('Heat Index Table'!AB21,0),ISBLANK('CSV-Query'!AA21))</f>
        <v>1</v>
      </c>
      <c r="AB22" s="1" t="b">
        <f>IF(NOT(ISBLANK('Heat Index Table'!AC21)),ROUND('CSV-Query'!AB21,0)=ROUND('Heat Index Table'!AC21,0),ISBLANK('CSV-Query'!AB21))</f>
        <v>1</v>
      </c>
      <c r="AC22" s="1" t="b">
        <f>IF(NOT(ISBLANK('Heat Index Table'!AD21)),ROUND('CSV-Query'!AC21,0)=ROUND('Heat Index Table'!AD21,0),ISBLANK('CSV-Query'!AC21))</f>
        <v>1</v>
      </c>
      <c r="AD22" s="1" t="b">
        <f>IF(NOT(ISBLANK('Heat Index Table'!AE21)),ROUND('CSV-Query'!AD21,0)=ROUND('Heat Index Table'!AE21,0),ISBLANK('CSV-Query'!AD21))</f>
        <v>1</v>
      </c>
      <c r="AE22" s="1" t="b">
        <f>IF(NOT(ISBLANK('Heat Index Table'!AF21)),ROUND('CSV-Query'!AE21,0)=ROUND('Heat Index Table'!AF21,0),ISBLANK('CSV-Query'!AE21))</f>
        <v>1</v>
      </c>
      <c r="AF22" s="1" t="b">
        <f>IF(NOT(ISBLANK('Heat Index Table'!AG21)),ROUND('CSV-Query'!AF21,0)=ROUND('Heat Index Table'!AG21,0),ISBLANK('CSV-Query'!AF21))</f>
        <v>1</v>
      </c>
      <c r="AG22" s="1" t="b">
        <f>IF(NOT(ISBLANK('Heat Index Table'!AH21)),ROUND('CSV-Query'!AG21,0)=ROUND('Heat Index Table'!AH21,0),ISBLANK('CSV-Query'!AG21))</f>
        <v>1</v>
      </c>
      <c r="AH22" s="1" t="b">
        <f>IF(NOT(ISBLANK('Heat Index Table'!AI21)),ROUND('CSV-Query'!AH21,0)=ROUND('Heat Index Table'!AI21,0),ISBLANK('CSV-Query'!AH21))</f>
        <v>1</v>
      </c>
      <c r="AI22" s="1" t="b">
        <f>IF(NOT(ISBLANK('Heat Index Table'!AJ21)),ROUND('CSV-Query'!AI21,0)=ROUND('Heat Index Table'!AJ21,0),ISBLANK('CSV-Query'!AI21))</f>
        <v>1</v>
      </c>
      <c r="AJ22" s="1" t="b">
        <f>IF(NOT(ISBLANK('Heat Index Table'!AK21)),ROUND('CSV-Query'!AJ21,0)=ROUND('Heat Index Table'!AK21,0),ISBLANK('CSV-Query'!AJ21))</f>
        <v>1</v>
      </c>
      <c r="AK22" s="1" t="b">
        <f>IF(NOT(ISBLANK('Heat Index Table'!AL21)),ROUND('CSV-Query'!AK21,0)=ROUND('Heat Index Table'!AL21,0),ISBLANK('CSV-Query'!AK21))</f>
        <v>1</v>
      </c>
      <c r="AL22" s="1" t="b">
        <f>IF(NOT(ISBLANK('Heat Index Table'!AM21)),ROUND('CSV-Query'!AL21,0)=ROUND('Heat Index Table'!AM21,0),ISBLANK('CSV-Query'!AL21))</f>
        <v>1</v>
      </c>
      <c r="AM22" s="1" t="b">
        <f>IF(NOT(ISBLANK('Heat Index Table'!AN21)),ROUND('CSV-Query'!AM21,0)=ROUND('Heat Index Table'!AN21,0),ISBLANK('CSV-Query'!AM21))</f>
        <v>1</v>
      </c>
      <c r="AN22" s="1" t="b">
        <f>IF(NOT(ISBLANK('Heat Index Table'!AO21)),ROUND('CSV-Query'!AN21,0)=ROUND('Heat Index Table'!AO21,0),ISBLANK('CSV-Query'!AN21))</f>
        <v>1</v>
      </c>
      <c r="AO22" s="1" t="b">
        <f>IF(NOT(ISBLANK('Heat Index Table'!AP21)),ROUND('CSV-Query'!AO21,0)=ROUND('Heat Index Table'!AP21,0),ISBLANK('CSV-Query'!AO21))</f>
        <v>1</v>
      </c>
      <c r="AP22" s="1" t="b">
        <f>IF(NOT(ISBLANK('Heat Index Table'!AQ21)),ROUND('CSV-Query'!AP21,0)=ROUND('Heat Index Table'!AQ21,0),ISBLANK('CSV-Query'!AP21))</f>
        <v>1</v>
      </c>
      <c r="AQ22" s="1" t="b">
        <f>IF(NOT(ISBLANK('Heat Index Table'!AR21)),ROUND('CSV-Query'!AQ21,0)=ROUND('Heat Index Table'!AR21,0),ISBLANK('CSV-Query'!AQ21))</f>
        <v>1</v>
      </c>
      <c r="AR22" s="1" t="b">
        <f>IF(NOT(ISBLANK('Heat Index Table'!AS21)),ROUND('CSV-Query'!AR21,0)=ROUND('Heat Index Table'!AS21,0),ISBLANK('CSV-Query'!AR21))</f>
        <v>1</v>
      </c>
      <c r="AS22" s="1" t="b">
        <f>IF(NOT(ISBLANK('Heat Index Table'!AT21)),ROUND('CSV-Query'!AS21,0)=ROUND('Heat Index Table'!AT21,0),ISBLANK('CSV-Query'!AS21))</f>
        <v>1</v>
      </c>
      <c r="AT22" s="1" t="b">
        <f>IF(NOT(ISBLANK('Heat Index Table'!AU21)),ROUND('CSV-Query'!AT21,0)=ROUND('Heat Index Table'!AU21,0),ISBLANK('CSV-Query'!AT21))</f>
        <v>1</v>
      </c>
      <c r="AU22" s="1" t="b">
        <f>IF(NOT(ISBLANK('Heat Index Table'!AV21)),ROUND('CSV-Query'!AU21,0)=ROUND('Heat Index Table'!AV21,0),ISBLANK('CSV-Query'!AU21))</f>
        <v>1</v>
      </c>
      <c r="AV22" s="1" t="b">
        <f>IF(NOT(ISBLANK('Heat Index Table'!AW21)),ROUND('CSV-Query'!AV21,0)=ROUND('Heat Index Table'!AW21,0),ISBLANK('CSV-Query'!AV21))</f>
        <v>1</v>
      </c>
      <c r="AW22" s="1" t="b">
        <f>IF(NOT(ISBLANK('Heat Index Table'!AX21)),ROUND('CSV-Query'!AW21,0)=ROUND('Heat Index Table'!AX21,0),ISBLANK('CSV-Query'!AW21))</f>
        <v>1</v>
      </c>
      <c r="AX22" s="1" t="b">
        <f>IF(NOT(ISBLANK('Heat Index Table'!AY21)),ROUND('CSV-Query'!AX21,0)=ROUND('Heat Index Table'!AY21,0),ISBLANK('CSV-Query'!AX21))</f>
        <v>1</v>
      </c>
    </row>
    <row r="23" spans="1:50" x14ac:dyDescent="0.45">
      <c r="A23" s="1">
        <v>88</v>
      </c>
      <c r="B23" s="1" t="b">
        <f>IF(NOT(ISBLANK('Heat Index Table'!C22)),ROUND('CSV-Query'!B22,0)=ROUND('Heat Index Table'!C22,0),ISBLANK('CSV-Query'!B22))</f>
        <v>1</v>
      </c>
      <c r="C23" s="1" t="b">
        <f>IF(NOT(ISBLANK('Heat Index Table'!D22)),ROUND('CSV-Query'!C22,0)=ROUND('Heat Index Table'!D22,0),ISBLANK('CSV-Query'!C22))</f>
        <v>1</v>
      </c>
      <c r="D23" s="1" t="b">
        <f>IF(NOT(ISBLANK('Heat Index Table'!E22)),ROUND('CSV-Query'!D22,0)=ROUND('Heat Index Table'!E22,0),ISBLANK('CSV-Query'!D22))</f>
        <v>1</v>
      </c>
      <c r="E23" s="1" t="b">
        <f>IF(NOT(ISBLANK('Heat Index Table'!F22)),ROUND('CSV-Query'!E22,0)=ROUND('Heat Index Table'!F22,0),ISBLANK('CSV-Query'!E22))</f>
        <v>1</v>
      </c>
      <c r="F23" s="1" t="b">
        <f>IF(NOT(ISBLANK('Heat Index Table'!G22)),ROUND('CSV-Query'!F22,0)=ROUND('Heat Index Table'!G22,0),ISBLANK('CSV-Query'!F22))</f>
        <v>1</v>
      </c>
      <c r="G23" s="1" t="b">
        <f>IF(NOT(ISBLANK('Heat Index Table'!H22)),ROUND('CSV-Query'!G22,0)=ROUND('Heat Index Table'!H22,0),ISBLANK('CSV-Query'!G22))</f>
        <v>1</v>
      </c>
      <c r="H23" s="1" t="b">
        <f>IF(NOT(ISBLANK('Heat Index Table'!I22)),ROUND('CSV-Query'!H22,0)=ROUND('Heat Index Table'!I22,0),ISBLANK('CSV-Query'!H22))</f>
        <v>1</v>
      </c>
      <c r="I23" s="1" t="b">
        <f>IF(NOT(ISBLANK('Heat Index Table'!J22)),ROUND('CSV-Query'!I22,0)=ROUND('Heat Index Table'!J22,0),ISBLANK('CSV-Query'!I22))</f>
        <v>1</v>
      </c>
      <c r="J23" s="1" t="b">
        <f>IF(NOT(ISBLANK('Heat Index Table'!K22)),ROUND('CSV-Query'!J22,0)=ROUND('Heat Index Table'!K22,0),ISBLANK('CSV-Query'!J22))</f>
        <v>1</v>
      </c>
      <c r="K23" s="1" t="b">
        <f>IF(NOT(ISBLANK('Heat Index Table'!L22)),ROUND('CSV-Query'!K22,0)=ROUND('Heat Index Table'!L22,0),ISBLANK('CSV-Query'!K22))</f>
        <v>1</v>
      </c>
      <c r="L23" s="1" t="b">
        <f>IF(NOT(ISBLANK('Heat Index Table'!M22)),ROUND('CSV-Query'!L22,0)=ROUND('Heat Index Table'!M22,0),ISBLANK('CSV-Query'!L22))</f>
        <v>1</v>
      </c>
      <c r="M23" s="1" t="b">
        <f>IF(NOT(ISBLANK('Heat Index Table'!N22)),ROUND('CSV-Query'!M22,0)=ROUND('Heat Index Table'!N22,0),ISBLANK('CSV-Query'!M22))</f>
        <v>1</v>
      </c>
      <c r="N23" s="1" t="b">
        <f>IF(NOT(ISBLANK('Heat Index Table'!O22)),ROUND('CSV-Query'!N22,0)=ROUND('Heat Index Table'!O22,0),ISBLANK('CSV-Query'!N22))</f>
        <v>1</v>
      </c>
      <c r="O23" s="1" t="b">
        <f>IF(NOT(ISBLANK('Heat Index Table'!P22)),ROUND('CSV-Query'!O22,0)=ROUND('Heat Index Table'!P22,0),ISBLANK('CSV-Query'!O22))</f>
        <v>1</v>
      </c>
      <c r="P23" s="1" t="b">
        <f>IF(NOT(ISBLANK('Heat Index Table'!Q22)),ROUND('CSV-Query'!P22,0)=ROUND('Heat Index Table'!Q22,0),ISBLANK('CSV-Query'!P22))</f>
        <v>1</v>
      </c>
      <c r="Q23" s="1" t="b">
        <f>IF(NOT(ISBLANK('Heat Index Table'!R22)),ROUND('CSV-Query'!Q22,0)=ROUND('Heat Index Table'!R22,0),ISBLANK('CSV-Query'!Q22))</f>
        <v>1</v>
      </c>
      <c r="R23" s="1" t="b">
        <f>IF(NOT(ISBLANK('Heat Index Table'!S22)),ROUND('CSV-Query'!R22,0)=ROUND('Heat Index Table'!S22,0),ISBLANK('CSV-Query'!R22))</f>
        <v>1</v>
      </c>
      <c r="S23" s="1" t="b">
        <f>IF(NOT(ISBLANK('Heat Index Table'!T22)),ROUND('CSV-Query'!S22,0)=ROUND('Heat Index Table'!T22,0),ISBLANK('CSV-Query'!S22))</f>
        <v>1</v>
      </c>
      <c r="T23" s="1" t="b">
        <f>IF(NOT(ISBLANK('Heat Index Table'!U22)),ROUND('CSV-Query'!T22,0)=ROUND('Heat Index Table'!U22,0),ISBLANK('CSV-Query'!T22))</f>
        <v>1</v>
      </c>
      <c r="U23" s="1" t="b">
        <f>IF(NOT(ISBLANK('Heat Index Table'!V22)),ROUND('CSV-Query'!U22,0)=ROUND('Heat Index Table'!V22,0),ISBLANK('CSV-Query'!U22))</f>
        <v>1</v>
      </c>
      <c r="V23" s="1" t="b">
        <f>IF(NOT(ISBLANK('Heat Index Table'!W22)),ROUND('CSV-Query'!V22,0)=ROUND('Heat Index Table'!W22,0),ISBLANK('CSV-Query'!V22))</f>
        <v>1</v>
      </c>
      <c r="W23" s="1" t="b">
        <f>IF(NOT(ISBLANK('Heat Index Table'!X22)),ROUND('CSV-Query'!W22,0)=ROUND('Heat Index Table'!X22,0),ISBLANK('CSV-Query'!W22))</f>
        <v>1</v>
      </c>
      <c r="X23" s="1" t="b">
        <f>IF(NOT(ISBLANK('Heat Index Table'!Y22)),ROUND('CSV-Query'!X22,0)=ROUND('Heat Index Table'!Y22,0),ISBLANK('CSV-Query'!X22))</f>
        <v>1</v>
      </c>
      <c r="Y23" s="1" t="b">
        <f>IF(NOT(ISBLANK('Heat Index Table'!Z22)),ROUND('CSV-Query'!Y22,0)=ROUND('Heat Index Table'!Z22,0),ISBLANK('CSV-Query'!Y22))</f>
        <v>1</v>
      </c>
      <c r="Z23" s="1" t="b">
        <f>IF(NOT(ISBLANK('Heat Index Table'!AA22)),ROUND('CSV-Query'!Z22,0)=ROUND('Heat Index Table'!AA22,0),ISBLANK('CSV-Query'!Z22))</f>
        <v>1</v>
      </c>
      <c r="AA23" s="1" t="b">
        <f>IF(NOT(ISBLANK('Heat Index Table'!AB22)),ROUND('CSV-Query'!AA22,0)=ROUND('Heat Index Table'!AB22,0),ISBLANK('CSV-Query'!AA22))</f>
        <v>1</v>
      </c>
      <c r="AB23" s="1" t="b">
        <f>IF(NOT(ISBLANK('Heat Index Table'!AC22)),ROUND('CSV-Query'!AB22,0)=ROUND('Heat Index Table'!AC22,0),ISBLANK('CSV-Query'!AB22))</f>
        <v>1</v>
      </c>
      <c r="AC23" s="1" t="b">
        <f>IF(NOT(ISBLANK('Heat Index Table'!AD22)),ROUND('CSV-Query'!AC22,0)=ROUND('Heat Index Table'!AD22,0),ISBLANK('CSV-Query'!AC22))</f>
        <v>1</v>
      </c>
      <c r="AD23" s="1" t="b">
        <f>IF(NOT(ISBLANK('Heat Index Table'!AE22)),ROUND('CSV-Query'!AD22,0)=ROUND('Heat Index Table'!AE22,0),ISBLANK('CSV-Query'!AD22))</f>
        <v>1</v>
      </c>
      <c r="AE23" s="1" t="b">
        <f>IF(NOT(ISBLANK('Heat Index Table'!AF22)),ROUND('CSV-Query'!AE22,0)=ROUND('Heat Index Table'!AF22,0),ISBLANK('CSV-Query'!AE22))</f>
        <v>1</v>
      </c>
      <c r="AF23" s="1" t="b">
        <f>IF(NOT(ISBLANK('Heat Index Table'!AG22)),ROUND('CSV-Query'!AF22,0)=ROUND('Heat Index Table'!AG22,0),ISBLANK('CSV-Query'!AF22))</f>
        <v>1</v>
      </c>
      <c r="AG23" s="1" t="b">
        <f>IF(NOT(ISBLANK('Heat Index Table'!AH22)),ROUND('CSV-Query'!AG22,0)=ROUND('Heat Index Table'!AH22,0),ISBLANK('CSV-Query'!AG22))</f>
        <v>1</v>
      </c>
      <c r="AH23" s="1" t="b">
        <f>IF(NOT(ISBLANK('Heat Index Table'!AI22)),ROUND('CSV-Query'!AH22,0)=ROUND('Heat Index Table'!AI22,0),ISBLANK('CSV-Query'!AH22))</f>
        <v>1</v>
      </c>
      <c r="AI23" s="1" t="b">
        <f>IF(NOT(ISBLANK('Heat Index Table'!AJ22)),ROUND('CSV-Query'!AI22,0)=ROUND('Heat Index Table'!AJ22,0),ISBLANK('CSV-Query'!AI22))</f>
        <v>1</v>
      </c>
      <c r="AJ23" s="1" t="b">
        <f>IF(NOT(ISBLANK('Heat Index Table'!AK22)),ROUND('CSV-Query'!AJ22,0)=ROUND('Heat Index Table'!AK22,0),ISBLANK('CSV-Query'!AJ22))</f>
        <v>1</v>
      </c>
      <c r="AK23" s="1" t="b">
        <f>IF(NOT(ISBLANK('Heat Index Table'!AL22)),ROUND('CSV-Query'!AK22,0)=ROUND('Heat Index Table'!AL22,0),ISBLANK('CSV-Query'!AK22))</f>
        <v>1</v>
      </c>
      <c r="AL23" s="1" t="b">
        <f>IF(NOT(ISBLANK('Heat Index Table'!AM22)),ROUND('CSV-Query'!AL22,0)=ROUND('Heat Index Table'!AM22,0),ISBLANK('CSV-Query'!AL22))</f>
        <v>1</v>
      </c>
      <c r="AM23" s="1" t="b">
        <f>IF(NOT(ISBLANK('Heat Index Table'!AN22)),ROUND('CSV-Query'!AM22,0)=ROUND('Heat Index Table'!AN22,0),ISBLANK('CSV-Query'!AM22))</f>
        <v>1</v>
      </c>
      <c r="AN23" s="1" t="b">
        <f>IF(NOT(ISBLANK('Heat Index Table'!AO22)),ROUND('CSV-Query'!AN22,0)=ROUND('Heat Index Table'!AO22,0),ISBLANK('CSV-Query'!AN22))</f>
        <v>1</v>
      </c>
      <c r="AO23" s="1" t="b">
        <f>IF(NOT(ISBLANK('Heat Index Table'!AP22)),ROUND('CSV-Query'!AO22,0)=ROUND('Heat Index Table'!AP22,0),ISBLANK('CSV-Query'!AO22))</f>
        <v>1</v>
      </c>
      <c r="AP23" s="1" t="b">
        <f>IF(NOT(ISBLANK('Heat Index Table'!AQ22)),ROUND('CSV-Query'!AP22,0)=ROUND('Heat Index Table'!AQ22,0),ISBLANK('CSV-Query'!AP22))</f>
        <v>1</v>
      </c>
      <c r="AQ23" s="1" t="b">
        <f>IF(NOT(ISBLANK('Heat Index Table'!AR22)),ROUND('CSV-Query'!AQ22,0)=ROUND('Heat Index Table'!AR22,0),ISBLANK('CSV-Query'!AQ22))</f>
        <v>1</v>
      </c>
      <c r="AR23" s="1" t="b">
        <f>IF(NOT(ISBLANK('Heat Index Table'!AS22)),ROUND('CSV-Query'!AR22,0)=ROUND('Heat Index Table'!AS22,0),ISBLANK('CSV-Query'!AR22))</f>
        <v>1</v>
      </c>
      <c r="AS23" s="1" t="b">
        <f>IF(NOT(ISBLANK('Heat Index Table'!AT22)),ROUND('CSV-Query'!AS22,0)=ROUND('Heat Index Table'!AT22,0),ISBLANK('CSV-Query'!AS22))</f>
        <v>1</v>
      </c>
      <c r="AT23" s="1" t="b">
        <f>IF(NOT(ISBLANK('Heat Index Table'!AU22)),ROUND('CSV-Query'!AT22,0)=ROUND('Heat Index Table'!AU22,0),ISBLANK('CSV-Query'!AT22))</f>
        <v>1</v>
      </c>
      <c r="AU23" s="1" t="b">
        <f>IF(NOT(ISBLANK('Heat Index Table'!AV22)),ROUND('CSV-Query'!AU22,0)=ROUND('Heat Index Table'!AV22,0),ISBLANK('CSV-Query'!AU22))</f>
        <v>1</v>
      </c>
      <c r="AV23" s="1" t="b">
        <f>IF(NOT(ISBLANK('Heat Index Table'!AW22)),ROUND('CSV-Query'!AV22,0)=ROUND('Heat Index Table'!AW22,0),ISBLANK('CSV-Query'!AV22))</f>
        <v>1</v>
      </c>
      <c r="AW23" s="1" t="b">
        <f>IF(NOT(ISBLANK('Heat Index Table'!AX22)),ROUND('CSV-Query'!AW22,0)=ROUND('Heat Index Table'!AX22,0),ISBLANK('CSV-Query'!AW22))</f>
        <v>1</v>
      </c>
      <c r="AX23" s="1" t="b">
        <f>IF(NOT(ISBLANK('Heat Index Table'!AY22)),ROUND('CSV-Query'!AX22,0)=ROUND('Heat Index Table'!AY22,0),ISBLANK('CSV-Query'!AX22))</f>
        <v>1</v>
      </c>
    </row>
    <row r="24" spans="1:50" x14ac:dyDescent="0.45">
      <c r="A24" s="1">
        <v>86</v>
      </c>
      <c r="B24" s="1" t="b">
        <f>IF(NOT(ISBLANK('Heat Index Table'!C23)),ROUND('CSV-Query'!B23,0)=ROUND('Heat Index Table'!C23,0),ISBLANK('CSV-Query'!B23))</f>
        <v>1</v>
      </c>
      <c r="C24" s="1" t="b">
        <f>IF(NOT(ISBLANK('Heat Index Table'!D23)),ROUND('CSV-Query'!C23,0)=ROUND('Heat Index Table'!D23,0),ISBLANK('CSV-Query'!C23))</f>
        <v>1</v>
      </c>
      <c r="D24" s="1" t="b">
        <f>IF(NOT(ISBLANK('Heat Index Table'!E23)),ROUND('CSV-Query'!D23,0)=ROUND('Heat Index Table'!E23,0),ISBLANK('CSV-Query'!D23))</f>
        <v>1</v>
      </c>
      <c r="E24" s="1" t="b">
        <f>IF(NOT(ISBLANK('Heat Index Table'!F23)),ROUND('CSV-Query'!E23,0)=ROUND('Heat Index Table'!F23,0),ISBLANK('CSV-Query'!E23))</f>
        <v>1</v>
      </c>
      <c r="F24" s="1" t="b">
        <f>IF(NOT(ISBLANK('Heat Index Table'!G23)),ROUND('CSV-Query'!F23,0)=ROUND('Heat Index Table'!G23,0),ISBLANK('CSV-Query'!F23))</f>
        <v>1</v>
      </c>
      <c r="G24" s="1" t="b">
        <f>IF(NOT(ISBLANK('Heat Index Table'!H23)),ROUND('CSV-Query'!G23,0)=ROUND('Heat Index Table'!H23,0),ISBLANK('CSV-Query'!G23))</f>
        <v>1</v>
      </c>
      <c r="H24" s="1" t="b">
        <f>IF(NOT(ISBLANK('Heat Index Table'!I23)),ROUND('CSV-Query'!H23,0)=ROUND('Heat Index Table'!I23,0),ISBLANK('CSV-Query'!H23))</f>
        <v>1</v>
      </c>
      <c r="I24" s="1" t="b">
        <f>IF(NOT(ISBLANK('Heat Index Table'!J23)),ROUND('CSV-Query'!I23,0)=ROUND('Heat Index Table'!J23,0),ISBLANK('CSV-Query'!I23))</f>
        <v>1</v>
      </c>
      <c r="J24" s="1" t="b">
        <f>IF(NOT(ISBLANK('Heat Index Table'!K23)),ROUND('CSV-Query'!J23,0)=ROUND('Heat Index Table'!K23,0),ISBLANK('CSV-Query'!J23))</f>
        <v>1</v>
      </c>
      <c r="K24" s="1" t="b">
        <f>IF(NOT(ISBLANK('Heat Index Table'!L23)),ROUND('CSV-Query'!K23,0)=ROUND('Heat Index Table'!L23,0),ISBLANK('CSV-Query'!K23))</f>
        <v>1</v>
      </c>
      <c r="L24" s="1" t="b">
        <f>IF(NOT(ISBLANK('Heat Index Table'!M23)),ROUND('CSV-Query'!L23,0)=ROUND('Heat Index Table'!M23,0),ISBLANK('CSV-Query'!L23))</f>
        <v>1</v>
      </c>
      <c r="M24" s="1" t="b">
        <f>IF(NOT(ISBLANK('Heat Index Table'!N23)),ROUND('CSV-Query'!M23,0)=ROUND('Heat Index Table'!N23,0),ISBLANK('CSV-Query'!M23))</f>
        <v>1</v>
      </c>
      <c r="N24" s="1" t="b">
        <f>IF(NOT(ISBLANK('Heat Index Table'!O23)),ROUND('CSV-Query'!N23,0)=ROUND('Heat Index Table'!O23,0),ISBLANK('CSV-Query'!N23))</f>
        <v>1</v>
      </c>
      <c r="O24" s="1" t="b">
        <f>IF(NOT(ISBLANK('Heat Index Table'!P23)),ROUND('CSV-Query'!O23,0)=ROUND('Heat Index Table'!P23,0),ISBLANK('CSV-Query'!O23))</f>
        <v>1</v>
      </c>
      <c r="P24" s="1" t="b">
        <f>IF(NOT(ISBLANK('Heat Index Table'!Q23)),ROUND('CSV-Query'!P23,0)=ROUND('Heat Index Table'!Q23,0),ISBLANK('CSV-Query'!P23))</f>
        <v>1</v>
      </c>
      <c r="Q24" s="1" t="b">
        <f>IF(NOT(ISBLANK('Heat Index Table'!R23)),ROUND('CSV-Query'!Q23,0)=ROUND('Heat Index Table'!R23,0),ISBLANK('CSV-Query'!Q23))</f>
        <v>1</v>
      </c>
      <c r="R24" s="1" t="b">
        <f>IF(NOT(ISBLANK('Heat Index Table'!S23)),ROUND('CSV-Query'!R23,0)=ROUND('Heat Index Table'!S23,0),ISBLANK('CSV-Query'!R23))</f>
        <v>1</v>
      </c>
      <c r="S24" s="1" t="b">
        <f>IF(NOT(ISBLANK('Heat Index Table'!T23)),ROUND('CSV-Query'!S23,0)=ROUND('Heat Index Table'!T23,0),ISBLANK('CSV-Query'!S23))</f>
        <v>1</v>
      </c>
      <c r="T24" s="1" t="b">
        <f>IF(NOT(ISBLANK('Heat Index Table'!U23)),ROUND('CSV-Query'!T23,0)=ROUND('Heat Index Table'!U23,0),ISBLANK('CSV-Query'!T23))</f>
        <v>1</v>
      </c>
      <c r="U24" s="1" t="b">
        <f>IF(NOT(ISBLANK('Heat Index Table'!V23)),ROUND('CSV-Query'!U23,0)=ROUND('Heat Index Table'!V23,0),ISBLANK('CSV-Query'!U23))</f>
        <v>1</v>
      </c>
      <c r="V24" s="1" t="b">
        <f>IF(NOT(ISBLANK('Heat Index Table'!W23)),ROUND('CSV-Query'!V23,0)=ROUND('Heat Index Table'!W23,0),ISBLANK('CSV-Query'!V23))</f>
        <v>1</v>
      </c>
      <c r="W24" s="1" t="b">
        <f>IF(NOT(ISBLANK('Heat Index Table'!X23)),ROUND('CSV-Query'!W23,0)=ROUND('Heat Index Table'!X23,0),ISBLANK('CSV-Query'!W23))</f>
        <v>1</v>
      </c>
      <c r="X24" s="1" t="b">
        <f>IF(NOT(ISBLANK('Heat Index Table'!Y23)),ROUND('CSV-Query'!X23,0)=ROUND('Heat Index Table'!Y23,0),ISBLANK('CSV-Query'!X23))</f>
        <v>1</v>
      </c>
      <c r="Y24" s="1" t="b">
        <f>IF(NOT(ISBLANK('Heat Index Table'!Z23)),ROUND('CSV-Query'!Y23,0)=ROUND('Heat Index Table'!Z23,0),ISBLANK('CSV-Query'!Y23))</f>
        <v>1</v>
      </c>
      <c r="Z24" s="1" t="b">
        <f>IF(NOT(ISBLANK('Heat Index Table'!AA23)),ROUND('CSV-Query'!Z23,0)=ROUND('Heat Index Table'!AA23,0),ISBLANK('CSV-Query'!Z23))</f>
        <v>1</v>
      </c>
      <c r="AA24" s="1" t="b">
        <f>IF(NOT(ISBLANK('Heat Index Table'!AB23)),ROUND('CSV-Query'!AA23,0)=ROUND('Heat Index Table'!AB23,0),ISBLANK('CSV-Query'!AA23))</f>
        <v>1</v>
      </c>
      <c r="AB24" s="1" t="b">
        <f>IF(NOT(ISBLANK('Heat Index Table'!AC23)),ROUND('CSV-Query'!AB23,0)=ROUND('Heat Index Table'!AC23,0),ISBLANK('CSV-Query'!AB23))</f>
        <v>1</v>
      </c>
      <c r="AC24" s="1" t="b">
        <f>IF(NOT(ISBLANK('Heat Index Table'!AD23)),ROUND('CSV-Query'!AC23,0)=ROUND('Heat Index Table'!AD23,0),ISBLANK('CSV-Query'!AC23))</f>
        <v>1</v>
      </c>
      <c r="AD24" s="1" t="b">
        <f>IF(NOT(ISBLANK('Heat Index Table'!AE23)),ROUND('CSV-Query'!AD23,0)=ROUND('Heat Index Table'!AE23,0),ISBLANK('CSV-Query'!AD23))</f>
        <v>1</v>
      </c>
      <c r="AE24" s="1" t="b">
        <f>IF(NOT(ISBLANK('Heat Index Table'!AF23)),ROUND('CSV-Query'!AE23,0)=ROUND('Heat Index Table'!AF23,0),ISBLANK('CSV-Query'!AE23))</f>
        <v>1</v>
      </c>
      <c r="AF24" s="1" t="b">
        <f>IF(NOT(ISBLANK('Heat Index Table'!AG23)),ROUND('CSV-Query'!AF23,0)=ROUND('Heat Index Table'!AG23,0),ISBLANK('CSV-Query'!AF23))</f>
        <v>1</v>
      </c>
      <c r="AG24" s="1" t="b">
        <f>IF(NOT(ISBLANK('Heat Index Table'!AH23)),ROUND('CSV-Query'!AG23,0)=ROUND('Heat Index Table'!AH23,0),ISBLANK('CSV-Query'!AG23))</f>
        <v>1</v>
      </c>
      <c r="AH24" s="1" t="b">
        <f>IF(NOT(ISBLANK('Heat Index Table'!AI23)),ROUND('CSV-Query'!AH23,0)=ROUND('Heat Index Table'!AI23,0),ISBLANK('CSV-Query'!AH23))</f>
        <v>1</v>
      </c>
      <c r="AI24" s="1" t="b">
        <f>IF(NOT(ISBLANK('Heat Index Table'!AJ23)),ROUND('CSV-Query'!AI23,0)=ROUND('Heat Index Table'!AJ23,0),ISBLANK('CSV-Query'!AI23))</f>
        <v>1</v>
      </c>
      <c r="AJ24" s="1" t="b">
        <f>IF(NOT(ISBLANK('Heat Index Table'!AK23)),ROUND('CSV-Query'!AJ23,0)=ROUND('Heat Index Table'!AK23,0),ISBLANK('CSV-Query'!AJ23))</f>
        <v>1</v>
      </c>
      <c r="AK24" s="1" t="b">
        <f>IF(NOT(ISBLANK('Heat Index Table'!AL23)),ROUND('CSV-Query'!AK23,0)=ROUND('Heat Index Table'!AL23,0),ISBLANK('CSV-Query'!AK23))</f>
        <v>1</v>
      </c>
      <c r="AL24" s="1" t="b">
        <f>IF(NOT(ISBLANK('Heat Index Table'!AM23)),ROUND('CSV-Query'!AL23,0)=ROUND('Heat Index Table'!AM23,0),ISBLANK('CSV-Query'!AL23))</f>
        <v>1</v>
      </c>
      <c r="AM24" s="1" t="b">
        <f>IF(NOT(ISBLANK('Heat Index Table'!AN23)),ROUND('CSV-Query'!AM23,0)=ROUND('Heat Index Table'!AN23,0),ISBLANK('CSV-Query'!AM23))</f>
        <v>1</v>
      </c>
      <c r="AN24" s="1" t="b">
        <f>IF(NOT(ISBLANK('Heat Index Table'!AO23)),ROUND('CSV-Query'!AN23,0)=ROUND('Heat Index Table'!AO23,0),ISBLANK('CSV-Query'!AN23))</f>
        <v>1</v>
      </c>
      <c r="AO24" s="1" t="b">
        <f>IF(NOT(ISBLANK('Heat Index Table'!AP23)),ROUND('CSV-Query'!AO23,0)=ROUND('Heat Index Table'!AP23,0),ISBLANK('CSV-Query'!AO23))</f>
        <v>1</v>
      </c>
      <c r="AP24" s="1" t="b">
        <f>IF(NOT(ISBLANK('Heat Index Table'!AQ23)),ROUND('CSV-Query'!AP23,0)=ROUND('Heat Index Table'!AQ23,0),ISBLANK('CSV-Query'!AP23))</f>
        <v>1</v>
      </c>
      <c r="AQ24" s="1" t="b">
        <f>IF(NOT(ISBLANK('Heat Index Table'!AR23)),ROUND('CSV-Query'!AQ23,0)=ROUND('Heat Index Table'!AR23,0),ISBLANK('CSV-Query'!AQ23))</f>
        <v>1</v>
      </c>
      <c r="AR24" s="1" t="b">
        <f>IF(NOT(ISBLANK('Heat Index Table'!AS23)),ROUND('CSV-Query'!AR23,0)=ROUND('Heat Index Table'!AS23,0),ISBLANK('CSV-Query'!AR23))</f>
        <v>1</v>
      </c>
      <c r="AS24" s="1" t="b">
        <f>IF(NOT(ISBLANK('Heat Index Table'!AT23)),ROUND('CSV-Query'!AS23,0)=ROUND('Heat Index Table'!AT23,0),ISBLANK('CSV-Query'!AS23))</f>
        <v>1</v>
      </c>
      <c r="AT24" s="1" t="b">
        <f>IF(NOT(ISBLANK('Heat Index Table'!AU23)),ROUND('CSV-Query'!AT23,0)=ROUND('Heat Index Table'!AU23,0),ISBLANK('CSV-Query'!AT23))</f>
        <v>1</v>
      </c>
      <c r="AU24" s="1" t="b">
        <f>IF(NOT(ISBLANK('Heat Index Table'!AV23)),ROUND('CSV-Query'!AU23,0)=ROUND('Heat Index Table'!AV23,0),ISBLANK('CSV-Query'!AU23))</f>
        <v>1</v>
      </c>
      <c r="AV24" s="1" t="b">
        <f>IF(NOT(ISBLANK('Heat Index Table'!AW23)),ROUND('CSV-Query'!AV23,0)=ROUND('Heat Index Table'!AW23,0),ISBLANK('CSV-Query'!AV23))</f>
        <v>1</v>
      </c>
      <c r="AW24" s="1" t="b">
        <f>IF(NOT(ISBLANK('Heat Index Table'!AX23)),ROUND('CSV-Query'!AW23,0)=ROUND('Heat Index Table'!AX23,0),ISBLANK('CSV-Query'!AW23))</f>
        <v>1</v>
      </c>
      <c r="AX24" s="1" t="b">
        <f>IF(NOT(ISBLANK('Heat Index Table'!AY23)),ROUND('CSV-Query'!AX23,0)=ROUND('Heat Index Table'!AY23,0),ISBLANK('CSV-Query'!AX23))</f>
        <v>1</v>
      </c>
    </row>
    <row r="25" spans="1:50" x14ac:dyDescent="0.45">
      <c r="A25" s="1">
        <v>84</v>
      </c>
      <c r="B25" s="1" t="b">
        <f>IF(NOT(ISBLANK('Heat Index Table'!C24)),ROUND('CSV-Query'!B24,0)=ROUND('Heat Index Table'!C24,0),ISBLANK('CSV-Query'!B24))</f>
        <v>1</v>
      </c>
      <c r="C25" s="1" t="b">
        <f>IF(NOT(ISBLANK('Heat Index Table'!D24)),ROUND('CSV-Query'!C24,0)=ROUND('Heat Index Table'!D24,0),ISBLANK('CSV-Query'!C24))</f>
        <v>1</v>
      </c>
      <c r="D25" s="1" t="b">
        <f>IF(NOT(ISBLANK('Heat Index Table'!E24)),ROUND('CSV-Query'!D24,0)=ROUND('Heat Index Table'!E24,0),ISBLANK('CSV-Query'!D24))</f>
        <v>1</v>
      </c>
      <c r="E25" s="1" t="b">
        <f>IF(NOT(ISBLANK('Heat Index Table'!F24)),ROUND('CSV-Query'!E24,0)=ROUND('Heat Index Table'!F24,0),ISBLANK('CSV-Query'!E24))</f>
        <v>1</v>
      </c>
      <c r="F25" s="1" t="b">
        <f>IF(NOT(ISBLANK('Heat Index Table'!G24)),ROUND('CSV-Query'!F24,0)=ROUND('Heat Index Table'!G24,0),ISBLANK('CSV-Query'!F24))</f>
        <v>1</v>
      </c>
      <c r="G25" s="1" t="b">
        <f>IF(NOT(ISBLANK('Heat Index Table'!H24)),ROUND('CSV-Query'!G24,0)=ROUND('Heat Index Table'!H24,0),ISBLANK('CSV-Query'!G24))</f>
        <v>1</v>
      </c>
      <c r="H25" s="1" t="b">
        <f>IF(NOT(ISBLANK('Heat Index Table'!I24)),ROUND('CSV-Query'!H24,0)=ROUND('Heat Index Table'!I24,0),ISBLANK('CSV-Query'!H24))</f>
        <v>1</v>
      </c>
      <c r="I25" s="1" t="b">
        <f>IF(NOT(ISBLANK('Heat Index Table'!J24)),ROUND('CSV-Query'!I24,0)=ROUND('Heat Index Table'!J24,0),ISBLANK('CSV-Query'!I24))</f>
        <v>1</v>
      </c>
      <c r="J25" s="1" t="b">
        <f>IF(NOT(ISBLANK('Heat Index Table'!K24)),ROUND('CSV-Query'!J24,0)=ROUND('Heat Index Table'!K24,0),ISBLANK('CSV-Query'!J24))</f>
        <v>1</v>
      </c>
      <c r="K25" s="1" t="b">
        <f>IF(NOT(ISBLANK('Heat Index Table'!L24)),ROUND('CSV-Query'!K24,0)=ROUND('Heat Index Table'!L24,0),ISBLANK('CSV-Query'!K24))</f>
        <v>1</v>
      </c>
      <c r="L25" s="1" t="b">
        <f>IF(NOT(ISBLANK('Heat Index Table'!M24)),ROUND('CSV-Query'!L24,0)=ROUND('Heat Index Table'!M24,0),ISBLANK('CSV-Query'!L24))</f>
        <v>1</v>
      </c>
      <c r="M25" s="1" t="b">
        <f>IF(NOT(ISBLANK('Heat Index Table'!N24)),ROUND('CSV-Query'!M24,0)=ROUND('Heat Index Table'!N24,0),ISBLANK('CSV-Query'!M24))</f>
        <v>1</v>
      </c>
      <c r="N25" s="1" t="b">
        <f>IF(NOT(ISBLANK('Heat Index Table'!O24)),ROUND('CSV-Query'!N24,0)=ROUND('Heat Index Table'!O24,0),ISBLANK('CSV-Query'!N24))</f>
        <v>1</v>
      </c>
      <c r="O25" s="1" t="b">
        <f>IF(NOT(ISBLANK('Heat Index Table'!P24)),ROUND('CSV-Query'!O24,0)=ROUND('Heat Index Table'!P24,0),ISBLANK('CSV-Query'!O24))</f>
        <v>1</v>
      </c>
      <c r="P25" s="1" t="b">
        <f>IF(NOT(ISBLANK('Heat Index Table'!Q24)),ROUND('CSV-Query'!P24,0)=ROUND('Heat Index Table'!Q24,0),ISBLANK('CSV-Query'!P24))</f>
        <v>1</v>
      </c>
      <c r="Q25" s="1" t="b">
        <f>IF(NOT(ISBLANK('Heat Index Table'!R24)),ROUND('CSV-Query'!Q24,0)=ROUND('Heat Index Table'!R24,0),ISBLANK('CSV-Query'!Q24))</f>
        <v>1</v>
      </c>
      <c r="R25" s="1" t="b">
        <f>IF(NOT(ISBLANK('Heat Index Table'!S24)),ROUND('CSV-Query'!R24,0)=ROUND('Heat Index Table'!S24,0),ISBLANK('CSV-Query'!R24))</f>
        <v>1</v>
      </c>
      <c r="S25" s="1" t="b">
        <f>IF(NOT(ISBLANK('Heat Index Table'!T24)),ROUND('CSV-Query'!S24,0)=ROUND('Heat Index Table'!T24,0),ISBLANK('CSV-Query'!S24))</f>
        <v>1</v>
      </c>
      <c r="T25" s="1" t="b">
        <f>IF(NOT(ISBLANK('Heat Index Table'!U24)),ROUND('CSV-Query'!T24,0)=ROUND('Heat Index Table'!U24,0),ISBLANK('CSV-Query'!T24))</f>
        <v>1</v>
      </c>
      <c r="U25" s="1" t="b">
        <f>IF(NOT(ISBLANK('Heat Index Table'!V24)),ROUND('CSV-Query'!U24,0)=ROUND('Heat Index Table'!V24,0),ISBLANK('CSV-Query'!U24))</f>
        <v>1</v>
      </c>
      <c r="V25" s="1" t="b">
        <f>IF(NOT(ISBLANK('Heat Index Table'!W24)),ROUND('CSV-Query'!V24,0)=ROUND('Heat Index Table'!W24,0),ISBLANK('CSV-Query'!V24))</f>
        <v>1</v>
      </c>
      <c r="W25" s="1" t="b">
        <f>IF(NOT(ISBLANK('Heat Index Table'!X24)),ROUND('CSV-Query'!W24,0)=ROUND('Heat Index Table'!X24,0),ISBLANK('CSV-Query'!W24))</f>
        <v>1</v>
      </c>
      <c r="X25" s="1" t="b">
        <f>IF(NOT(ISBLANK('Heat Index Table'!Y24)),ROUND('CSV-Query'!X24,0)=ROUND('Heat Index Table'!Y24,0),ISBLANK('CSV-Query'!X24))</f>
        <v>1</v>
      </c>
      <c r="Y25" s="1" t="b">
        <f>IF(NOT(ISBLANK('Heat Index Table'!Z24)),ROUND('CSV-Query'!Y24,0)=ROUND('Heat Index Table'!Z24,0),ISBLANK('CSV-Query'!Y24))</f>
        <v>1</v>
      </c>
      <c r="Z25" s="1" t="b">
        <f>IF(NOT(ISBLANK('Heat Index Table'!AA24)),ROUND('CSV-Query'!Z24,0)=ROUND('Heat Index Table'!AA24,0),ISBLANK('CSV-Query'!Z24))</f>
        <v>1</v>
      </c>
      <c r="AA25" s="1" t="b">
        <f>IF(NOT(ISBLANK('Heat Index Table'!AB24)),ROUND('CSV-Query'!AA24,0)=ROUND('Heat Index Table'!AB24,0),ISBLANK('CSV-Query'!AA24))</f>
        <v>1</v>
      </c>
      <c r="AB25" s="1" t="b">
        <f>IF(NOT(ISBLANK('Heat Index Table'!AC24)),ROUND('CSV-Query'!AB24,0)=ROUND('Heat Index Table'!AC24,0),ISBLANK('CSV-Query'!AB24))</f>
        <v>1</v>
      </c>
      <c r="AC25" s="1" t="b">
        <f>IF(NOT(ISBLANK('Heat Index Table'!AD24)),ROUND('CSV-Query'!AC24,0)=ROUND('Heat Index Table'!AD24,0),ISBLANK('CSV-Query'!AC24))</f>
        <v>1</v>
      </c>
      <c r="AD25" s="1" t="b">
        <f>IF(NOT(ISBLANK('Heat Index Table'!AE24)),ROUND('CSV-Query'!AD24,0)=ROUND('Heat Index Table'!AE24,0),ISBLANK('CSV-Query'!AD24))</f>
        <v>1</v>
      </c>
      <c r="AE25" s="1" t="b">
        <f>IF(NOT(ISBLANK('Heat Index Table'!AF24)),ROUND('CSV-Query'!AE24,0)=ROUND('Heat Index Table'!AF24,0),ISBLANK('CSV-Query'!AE24))</f>
        <v>1</v>
      </c>
      <c r="AF25" s="1" t="b">
        <f>IF(NOT(ISBLANK('Heat Index Table'!AG24)),ROUND('CSV-Query'!AF24,0)=ROUND('Heat Index Table'!AG24,0),ISBLANK('CSV-Query'!AF24))</f>
        <v>1</v>
      </c>
      <c r="AG25" s="1" t="b">
        <f>IF(NOT(ISBLANK('Heat Index Table'!AH24)),ROUND('CSV-Query'!AG24,0)=ROUND('Heat Index Table'!AH24,0),ISBLANK('CSV-Query'!AG24))</f>
        <v>1</v>
      </c>
      <c r="AH25" s="1" t="b">
        <f>IF(NOT(ISBLANK('Heat Index Table'!AI24)),ROUND('CSV-Query'!AH24,0)=ROUND('Heat Index Table'!AI24,0),ISBLANK('CSV-Query'!AH24))</f>
        <v>1</v>
      </c>
      <c r="AI25" s="1" t="b">
        <f>IF(NOT(ISBLANK('Heat Index Table'!AJ24)),ROUND('CSV-Query'!AI24,0)=ROUND('Heat Index Table'!AJ24,0),ISBLANK('CSV-Query'!AI24))</f>
        <v>1</v>
      </c>
      <c r="AJ25" s="1" t="b">
        <f>IF(NOT(ISBLANK('Heat Index Table'!AK24)),ROUND('CSV-Query'!AJ24,0)=ROUND('Heat Index Table'!AK24,0),ISBLANK('CSV-Query'!AJ24))</f>
        <v>1</v>
      </c>
      <c r="AK25" s="1" t="b">
        <f>IF(NOT(ISBLANK('Heat Index Table'!AL24)),ROUND('CSV-Query'!AK24,0)=ROUND('Heat Index Table'!AL24,0),ISBLANK('CSV-Query'!AK24))</f>
        <v>1</v>
      </c>
      <c r="AL25" s="1" t="b">
        <f>IF(NOT(ISBLANK('Heat Index Table'!AM24)),ROUND('CSV-Query'!AL24,0)=ROUND('Heat Index Table'!AM24,0),ISBLANK('CSV-Query'!AL24))</f>
        <v>1</v>
      </c>
      <c r="AM25" s="1" t="b">
        <f>IF(NOT(ISBLANK('Heat Index Table'!AN24)),ROUND('CSV-Query'!AM24,0)=ROUND('Heat Index Table'!AN24,0),ISBLANK('CSV-Query'!AM24))</f>
        <v>1</v>
      </c>
      <c r="AN25" s="1" t="b">
        <f>IF(NOT(ISBLANK('Heat Index Table'!AO24)),ROUND('CSV-Query'!AN24,0)=ROUND('Heat Index Table'!AO24,0),ISBLANK('CSV-Query'!AN24))</f>
        <v>1</v>
      </c>
      <c r="AO25" s="1" t="b">
        <f>IF(NOT(ISBLANK('Heat Index Table'!AP24)),ROUND('CSV-Query'!AO24,0)=ROUND('Heat Index Table'!AP24,0),ISBLANK('CSV-Query'!AO24))</f>
        <v>1</v>
      </c>
      <c r="AP25" s="1" t="b">
        <f>IF(NOT(ISBLANK('Heat Index Table'!AQ24)),ROUND('CSV-Query'!AP24,0)=ROUND('Heat Index Table'!AQ24,0),ISBLANK('CSV-Query'!AP24))</f>
        <v>1</v>
      </c>
      <c r="AQ25" s="1" t="b">
        <f>IF(NOT(ISBLANK('Heat Index Table'!AR24)),ROUND('CSV-Query'!AQ24,0)=ROUND('Heat Index Table'!AR24,0),ISBLANK('CSV-Query'!AQ24))</f>
        <v>1</v>
      </c>
      <c r="AR25" s="1" t="b">
        <f>IF(NOT(ISBLANK('Heat Index Table'!AS24)),ROUND('CSV-Query'!AR24,0)=ROUND('Heat Index Table'!AS24,0),ISBLANK('CSV-Query'!AR24))</f>
        <v>1</v>
      </c>
      <c r="AS25" s="1" t="b">
        <f>IF(NOT(ISBLANK('Heat Index Table'!AT24)),ROUND('CSV-Query'!AS24,0)=ROUND('Heat Index Table'!AT24,0),ISBLANK('CSV-Query'!AS24))</f>
        <v>1</v>
      </c>
      <c r="AT25" s="1" t="b">
        <f>IF(NOT(ISBLANK('Heat Index Table'!AU24)),ROUND('CSV-Query'!AT24,0)=ROUND('Heat Index Table'!AU24,0),ISBLANK('CSV-Query'!AT24))</f>
        <v>1</v>
      </c>
      <c r="AU25" s="1" t="b">
        <f>IF(NOT(ISBLANK('Heat Index Table'!AV24)),ROUND('CSV-Query'!AU24,0)=ROUND('Heat Index Table'!AV24,0),ISBLANK('CSV-Query'!AU24))</f>
        <v>1</v>
      </c>
      <c r="AV25" s="1" t="b">
        <f>IF(NOT(ISBLANK('Heat Index Table'!AW24)),ROUND('CSV-Query'!AV24,0)=ROUND('Heat Index Table'!AW24,0),ISBLANK('CSV-Query'!AV24))</f>
        <v>1</v>
      </c>
      <c r="AW25" s="1" t="b">
        <f>IF(NOT(ISBLANK('Heat Index Table'!AX24)),ROUND('CSV-Query'!AW24,0)=ROUND('Heat Index Table'!AX24,0),ISBLANK('CSV-Query'!AW24))</f>
        <v>1</v>
      </c>
      <c r="AX25" s="1" t="b">
        <f>IF(NOT(ISBLANK('Heat Index Table'!AY24)),ROUND('CSV-Query'!AX24,0)=ROUND('Heat Index Table'!AY24,0),ISBLANK('CSV-Query'!AX24))</f>
        <v>1</v>
      </c>
    </row>
    <row r="26" spans="1:50" x14ac:dyDescent="0.45">
      <c r="A26" s="1">
        <v>82</v>
      </c>
      <c r="B26" s="1" t="b">
        <f>IF(NOT(ISBLANK('Heat Index Table'!C25)),ROUND('CSV-Query'!B25,0)=ROUND('Heat Index Table'!C25,0),ISBLANK('CSV-Query'!B25))</f>
        <v>1</v>
      </c>
      <c r="C26" s="1" t="b">
        <f>IF(NOT(ISBLANK('Heat Index Table'!D25)),ROUND('CSV-Query'!C25,0)=ROUND('Heat Index Table'!D25,0),ISBLANK('CSV-Query'!C25))</f>
        <v>1</v>
      </c>
      <c r="D26" s="1" t="b">
        <f>IF(NOT(ISBLANK('Heat Index Table'!E25)),ROUND('CSV-Query'!D25,0)=ROUND('Heat Index Table'!E25,0),ISBLANK('CSV-Query'!D25))</f>
        <v>1</v>
      </c>
      <c r="E26" s="1" t="b">
        <f>IF(NOT(ISBLANK('Heat Index Table'!F25)),ROUND('CSV-Query'!E25,0)=ROUND('Heat Index Table'!F25,0),ISBLANK('CSV-Query'!E25))</f>
        <v>1</v>
      </c>
      <c r="F26" s="1" t="b">
        <f>IF(NOT(ISBLANK('Heat Index Table'!G25)),ROUND('CSV-Query'!F25,0)=ROUND('Heat Index Table'!G25,0),ISBLANK('CSV-Query'!F25))</f>
        <v>1</v>
      </c>
      <c r="G26" s="1" t="b">
        <f>IF(NOT(ISBLANK('Heat Index Table'!H25)),ROUND('CSV-Query'!G25,0)=ROUND('Heat Index Table'!H25,0),ISBLANK('CSV-Query'!G25))</f>
        <v>1</v>
      </c>
      <c r="H26" s="1" t="b">
        <f>IF(NOT(ISBLANK('Heat Index Table'!I25)),ROUND('CSV-Query'!H25,0)=ROUND('Heat Index Table'!I25,0),ISBLANK('CSV-Query'!H25))</f>
        <v>1</v>
      </c>
      <c r="I26" s="1" t="b">
        <f>IF(NOT(ISBLANK('Heat Index Table'!J25)),ROUND('CSV-Query'!I25,0)=ROUND('Heat Index Table'!J25,0),ISBLANK('CSV-Query'!I25))</f>
        <v>1</v>
      </c>
      <c r="J26" s="1" t="b">
        <f>IF(NOT(ISBLANK('Heat Index Table'!K25)),ROUND('CSV-Query'!J25,0)=ROUND('Heat Index Table'!K25,0),ISBLANK('CSV-Query'!J25))</f>
        <v>1</v>
      </c>
      <c r="K26" s="1" t="b">
        <f>IF(NOT(ISBLANK('Heat Index Table'!L25)),ROUND('CSV-Query'!K25,0)=ROUND('Heat Index Table'!L25,0),ISBLANK('CSV-Query'!K25))</f>
        <v>1</v>
      </c>
      <c r="L26" s="1" t="b">
        <f>IF(NOT(ISBLANK('Heat Index Table'!M25)),ROUND('CSV-Query'!L25,0)=ROUND('Heat Index Table'!M25,0),ISBLANK('CSV-Query'!L25))</f>
        <v>1</v>
      </c>
      <c r="M26" s="1" t="b">
        <f>IF(NOT(ISBLANK('Heat Index Table'!N25)),ROUND('CSV-Query'!M25,0)=ROUND('Heat Index Table'!N25,0),ISBLANK('CSV-Query'!M25))</f>
        <v>1</v>
      </c>
      <c r="N26" s="1" t="b">
        <f>IF(NOT(ISBLANK('Heat Index Table'!O25)),ROUND('CSV-Query'!N25,0)=ROUND('Heat Index Table'!O25,0),ISBLANK('CSV-Query'!N25))</f>
        <v>1</v>
      </c>
      <c r="O26" s="1" t="b">
        <f>IF(NOT(ISBLANK('Heat Index Table'!P25)),ROUND('CSV-Query'!O25,0)=ROUND('Heat Index Table'!P25,0),ISBLANK('CSV-Query'!O25))</f>
        <v>1</v>
      </c>
      <c r="P26" s="1" t="b">
        <f>IF(NOT(ISBLANK('Heat Index Table'!Q25)),ROUND('CSV-Query'!P25,0)=ROUND('Heat Index Table'!Q25,0),ISBLANK('CSV-Query'!P25))</f>
        <v>1</v>
      </c>
      <c r="Q26" s="1" t="b">
        <f>IF(NOT(ISBLANK('Heat Index Table'!R25)),ROUND('CSV-Query'!Q25,0)=ROUND('Heat Index Table'!R25,0),ISBLANK('CSV-Query'!Q25))</f>
        <v>1</v>
      </c>
      <c r="R26" s="1" t="b">
        <f>IF(NOT(ISBLANK('Heat Index Table'!S25)),ROUND('CSV-Query'!R25,0)=ROUND('Heat Index Table'!S25,0),ISBLANK('CSV-Query'!R25))</f>
        <v>1</v>
      </c>
      <c r="S26" s="1" t="b">
        <f>IF(NOT(ISBLANK('Heat Index Table'!T25)),ROUND('CSV-Query'!S25,0)=ROUND('Heat Index Table'!T25,0),ISBLANK('CSV-Query'!S25))</f>
        <v>1</v>
      </c>
      <c r="T26" s="1" t="b">
        <f>IF(NOT(ISBLANK('Heat Index Table'!U25)),ROUND('CSV-Query'!T25,0)=ROUND('Heat Index Table'!U25,0),ISBLANK('CSV-Query'!T25))</f>
        <v>1</v>
      </c>
      <c r="U26" s="1" t="b">
        <f>IF(NOT(ISBLANK('Heat Index Table'!V25)),ROUND('CSV-Query'!U25,0)=ROUND('Heat Index Table'!V25,0),ISBLANK('CSV-Query'!U25))</f>
        <v>1</v>
      </c>
      <c r="V26" s="1" t="b">
        <f>IF(NOT(ISBLANK('Heat Index Table'!W25)),ROUND('CSV-Query'!V25,0)=ROUND('Heat Index Table'!W25,0),ISBLANK('CSV-Query'!V25))</f>
        <v>1</v>
      </c>
      <c r="W26" s="1" t="b">
        <f>IF(NOT(ISBLANK('Heat Index Table'!X25)),ROUND('CSV-Query'!W25,0)=ROUND('Heat Index Table'!X25,0),ISBLANK('CSV-Query'!W25))</f>
        <v>1</v>
      </c>
      <c r="X26" s="1" t="b">
        <f>IF(NOT(ISBLANK('Heat Index Table'!Y25)),ROUND('CSV-Query'!X25,0)=ROUND('Heat Index Table'!Y25,0),ISBLANK('CSV-Query'!X25))</f>
        <v>1</v>
      </c>
      <c r="Y26" s="1" t="b">
        <f>IF(NOT(ISBLANK('Heat Index Table'!Z25)),ROUND('CSV-Query'!Y25,0)=ROUND('Heat Index Table'!Z25,0),ISBLANK('CSV-Query'!Y25))</f>
        <v>1</v>
      </c>
      <c r="Z26" s="1" t="b">
        <f>IF(NOT(ISBLANK('Heat Index Table'!AA25)),ROUND('CSV-Query'!Z25,0)=ROUND('Heat Index Table'!AA25,0),ISBLANK('CSV-Query'!Z25))</f>
        <v>1</v>
      </c>
      <c r="AA26" s="1" t="b">
        <f>IF(NOT(ISBLANK('Heat Index Table'!AB25)),ROUND('CSV-Query'!AA25,0)=ROUND('Heat Index Table'!AB25,0),ISBLANK('CSV-Query'!AA25))</f>
        <v>1</v>
      </c>
      <c r="AB26" s="1" t="b">
        <f>IF(NOT(ISBLANK('Heat Index Table'!AC25)),ROUND('CSV-Query'!AB25,0)=ROUND('Heat Index Table'!AC25,0),ISBLANK('CSV-Query'!AB25))</f>
        <v>1</v>
      </c>
      <c r="AC26" s="1" t="b">
        <f>IF(NOT(ISBLANK('Heat Index Table'!AD25)),ROUND('CSV-Query'!AC25,0)=ROUND('Heat Index Table'!AD25,0),ISBLANK('CSV-Query'!AC25))</f>
        <v>1</v>
      </c>
      <c r="AD26" s="1" t="b">
        <f>IF(NOT(ISBLANK('Heat Index Table'!AE25)),ROUND('CSV-Query'!AD25,0)=ROUND('Heat Index Table'!AE25,0),ISBLANK('CSV-Query'!AD25))</f>
        <v>1</v>
      </c>
      <c r="AE26" s="1" t="b">
        <f>IF(NOT(ISBLANK('Heat Index Table'!AF25)),ROUND('CSV-Query'!AE25,0)=ROUND('Heat Index Table'!AF25,0),ISBLANK('CSV-Query'!AE25))</f>
        <v>1</v>
      </c>
      <c r="AF26" s="1" t="b">
        <f>IF(NOT(ISBLANK('Heat Index Table'!AG25)),ROUND('CSV-Query'!AF25,0)=ROUND('Heat Index Table'!AG25,0),ISBLANK('CSV-Query'!AF25))</f>
        <v>1</v>
      </c>
      <c r="AG26" s="1" t="b">
        <f>IF(NOT(ISBLANK('Heat Index Table'!AH25)),ROUND('CSV-Query'!AG25,0)=ROUND('Heat Index Table'!AH25,0),ISBLANK('CSV-Query'!AG25))</f>
        <v>1</v>
      </c>
      <c r="AH26" s="1" t="b">
        <f>IF(NOT(ISBLANK('Heat Index Table'!AI25)),ROUND('CSV-Query'!AH25,0)=ROUND('Heat Index Table'!AI25,0),ISBLANK('CSV-Query'!AH25))</f>
        <v>1</v>
      </c>
      <c r="AI26" s="1" t="b">
        <f>IF(NOT(ISBLANK('Heat Index Table'!AJ25)),ROUND('CSV-Query'!AI25,0)=ROUND('Heat Index Table'!AJ25,0),ISBLANK('CSV-Query'!AI25))</f>
        <v>1</v>
      </c>
      <c r="AJ26" s="1" t="b">
        <f>IF(NOT(ISBLANK('Heat Index Table'!AK25)),ROUND('CSV-Query'!AJ25,0)=ROUND('Heat Index Table'!AK25,0),ISBLANK('CSV-Query'!AJ25))</f>
        <v>1</v>
      </c>
      <c r="AK26" s="1" t="b">
        <f>IF(NOT(ISBLANK('Heat Index Table'!AL25)),ROUND('CSV-Query'!AK25,0)=ROUND('Heat Index Table'!AL25,0),ISBLANK('CSV-Query'!AK25))</f>
        <v>1</v>
      </c>
      <c r="AL26" s="1" t="b">
        <f>IF(NOT(ISBLANK('Heat Index Table'!AM25)),ROUND('CSV-Query'!AL25,0)=ROUND('Heat Index Table'!AM25,0),ISBLANK('CSV-Query'!AL25))</f>
        <v>1</v>
      </c>
      <c r="AM26" s="1" t="b">
        <f>IF(NOT(ISBLANK('Heat Index Table'!AN25)),ROUND('CSV-Query'!AM25,0)=ROUND('Heat Index Table'!AN25,0),ISBLANK('CSV-Query'!AM25))</f>
        <v>1</v>
      </c>
      <c r="AN26" s="1" t="b">
        <f>IF(NOT(ISBLANK('Heat Index Table'!AO25)),ROUND('CSV-Query'!AN25,0)=ROUND('Heat Index Table'!AO25,0),ISBLANK('CSV-Query'!AN25))</f>
        <v>1</v>
      </c>
      <c r="AO26" s="1" t="b">
        <f>IF(NOT(ISBLANK('Heat Index Table'!AP25)),ROUND('CSV-Query'!AO25,0)=ROUND('Heat Index Table'!AP25,0),ISBLANK('CSV-Query'!AO25))</f>
        <v>1</v>
      </c>
      <c r="AP26" s="1" t="b">
        <f>IF(NOT(ISBLANK('Heat Index Table'!AQ25)),ROUND('CSV-Query'!AP25,0)=ROUND('Heat Index Table'!AQ25,0),ISBLANK('CSV-Query'!AP25))</f>
        <v>1</v>
      </c>
      <c r="AQ26" s="1" t="b">
        <f>IF(NOT(ISBLANK('Heat Index Table'!AR25)),ROUND('CSV-Query'!AQ25,0)=ROUND('Heat Index Table'!AR25,0),ISBLANK('CSV-Query'!AQ25))</f>
        <v>1</v>
      </c>
      <c r="AR26" s="1" t="b">
        <f>IF(NOT(ISBLANK('Heat Index Table'!AS25)),ROUND('CSV-Query'!AR25,0)=ROUND('Heat Index Table'!AS25,0),ISBLANK('CSV-Query'!AR25))</f>
        <v>1</v>
      </c>
      <c r="AS26" s="1" t="b">
        <f>IF(NOT(ISBLANK('Heat Index Table'!AT25)),ROUND('CSV-Query'!AS25,0)=ROUND('Heat Index Table'!AT25,0),ISBLANK('CSV-Query'!AS25))</f>
        <v>1</v>
      </c>
      <c r="AT26" s="1" t="b">
        <f>IF(NOT(ISBLANK('Heat Index Table'!AU25)),ROUND('CSV-Query'!AT25,0)=ROUND('Heat Index Table'!AU25,0),ISBLANK('CSV-Query'!AT25))</f>
        <v>1</v>
      </c>
      <c r="AU26" s="1" t="b">
        <f>IF(NOT(ISBLANK('Heat Index Table'!AV25)),ROUND('CSV-Query'!AU25,0)=ROUND('Heat Index Table'!AV25,0),ISBLANK('CSV-Query'!AU25))</f>
        <v>1</v>
      </c>
      <c r="AV26" s="1" t="b">
        <f>IF(NOT(ISBLANK('Heat Index Table'!AW25)),ROUND('CSV-Query'!AV25,0)=ROUND('Heat Index Table'!AW25,0),ISBLANK('CSV-Query'!AV25))</f>
        <v>1</v>
      </c>
      <c r="AW26" s="1" t="b">
        <f>IF(NOT(ISBLANK('Heat Index Table'!AX25)),ROUND('CSV-Query'!AW25,0)=ROUND('Heat Index Table'!AX25,0),ISBLANK('CSV-Query'!AW25))</f>
        <v>1</v>
      </c>
      <c r="AX26" s="1" t="b">
        <f>IF(NOT(ISBLANK('Heat Index Table'!AY25)),ROUND('CSV-Query'!AX25,0)=ROUND('Heat Index Table'!AY25,0),ISBLANK('CSV-Query'!AX25))</f>
        <v>1</v>
      </c>
    </row>
    <row r="27" spans="1:50" x14ac:dyDescent="0.45">
      <c r="A27" s="1">
        <v>80</v>
      </c>
      <c r="B27" s="1" t="b">
        <f>IF(NOT(ISBLANK('Heat Index Table'!C26)),ROUND('CSV-Query'!B26,0)=ROUND('Heat Index Table'!C26,0),ISBLANK('CSV-Query'!B26))</f>
        <v>1</v>
      </c>
      <c r="C27" s="1" t="b">
        <f>IF(NOT(ISBLANK('Heat Index Table'!D26)),ROUND('CSV-Query'!C26,0)=ROUND('Heat Index Table'!D26,0),ISBLANK('CSV-Query'!C26))</f>
        <v>1</v>
      </c>
      <c r="D27" s="1" t="b">
        <f>IF(NOT(ISBLANK('Heat Index Table'!E26)),ROUND('CSV-Query'!D26,0)=ROUND('Heat Index Table'!E26,0),ISBLANK('CSV-Query'!D26))</f>
        <v>1</v>
      </c>
      <c r="E27" s="1" t="b">
        <f>IF(NOT(ISBLANK('Heat Index Table'!F26)),ROUND('CSV-Query'!E26,0)=ROUND('Heat Index Table'!F26,0),ISBLANK('CSV-Query'!E26))</f>
        <v>1</v>
      </c>
      <c r="F27" s="1" t="b">
        <f>IF(NOT(ISBLANK('Heat Index Table'!G26)),ROUND('CSV-Query'!F26,0)=ROUND('Heat Index Table'!G26,0),ISBLANK('CSV-Query'!F26))</f>
        <v>1</v>
      </c>
      <c r="G27" s="1" t="b">
        <f>IF(NOT(ISBLANK('Heat Index Table'!H26)),ROUND('CSV-Query'!G26,0)=ROUND('Heat Index Table'!H26,0),ISBLANK('CSV-Query'!G26))</f>
        <v>1</v>
      </c>
      <c r="H27" s="1" t="b">
        <f>IF(NOT(ISBLANK('Heat Index Table'!I26)),ROUND('CSV-Query'!H26,0)=ROUND('Heat Index Table'!I26,0),ISBLANK('CSV-Query'!H26))</f>
        <v>1</v>
      </c>
      <c r="I27" s="1" t="b">
        <f>IF(NOT(ISBLANK('Heat Index Table'!J26)),ROUND('CSV-Query'!I26,0)=ROUND('Heat Index Table'!J26,0),ISBLANK('CSV-Query'!I26))</f>
        <v>1</v>
      </c>
      <c r="J27" s="1" t="b">
        <f>IF(NOT(ISBLANK('Heat Index Table'!K26)),ROUND('CSV-Query'!J26,0)=ROUND('Heat Index Table'!K26,0),ISBLANK('CSV-Query'!J26))</f>
        <v>1</v>
      </c>
      <c r="K27" s="1" t="b">
        <f>IF(NOT(ISBLANK('Heat Index Table'!L26)),ROUND('CSV-Query'!K26,0)=ROUND('Heat Index Table'!L26,0),ISBLANK('CSV-Query'!K26))</f>
        <v>1</v>
      </c>
      <c r="L27" s="1" t="b">
        <f>IF(NOT(ISBLANK('Heat Index Table'!M26)),ROUND('CSV-Query'!L26,0)=ROUND('Heat Index Table'!M26,0),ISBLANK('CSV-Query'!L26))</f>
        <v>1</v>
      </c>
      <c r="M27" s="1" t="b">
        <f>IF(NOT(ISBLANK('Heat Index Table'!N26)),ROUND('CSV-Query'!M26,0)=ROUND('Heat Index Table'!N26,0),ISBLANK('CSV-Query'!M26))</f>
        <v>1</v>
      </c>
      <c r="N27" s="1" t="b">
        <f>IF(NOT(ISBLANK('Heat Index Table'!O26)),ROUND('CSV-Query'!N26,0)=ROUND('Heat Index Table'!O26,0),ISBLANK('CSV-Query'!N26))</f>
        <v>1</v>
      </c>
      <c r="O27" s="1" t="b">
        <f>IF(NOT(ISBLANK('Heat Index Table'!P26)),ROUND('CSV-Query'!O26,0)=ROUND('Heat Index Table'!P26,0),ISBLANK('CSV-Query'!O26))</f>
        <v>1</v>
      </c>
      <c r="P27" s="1" t="b">
        <f>IF(NOT(ISBLANK('Heat Index Table'!Q26)),ROUND('CSV-Query'!P26,0)=ROUND('Heat Index Table'!Q26,0),ISBLANK('CSV-Query'!P26))</f>
        <v>1</v>
      </c>
      <c r="Q27" s="1" t="b">
        <f>IF(NOT(ISBLANK('Heat Index Table'!R26)),ROUND('CSV-Query'!Q26,0)=ROUND('Heat Index Table'!R26,0),ISBLANK('CSV-Query'!Q26))</f>
        <v>1</v>
      </c>
      <c r="R27" s="1" t="b">
        <f>IF(NOT(ISBLANK('Heat Index Table'!S26)),ROUND('CSV-Query'!R26,0)=ROUND('Heat Index Table'!S26,0),ISBLANK('CSV-Query'!R26))</f>
        <v>1</v>
      </c>
      <c r="S27" s="1" t="b">
        <f>IF(NOT(ISBLANK('Heat Index Table'!T26)),ROUND('CSV-Query'!S26,0)=ROUND('Heat Index Table'!T26,0),ISBLANK('CSV-Query'!S26))</f>
        <v>1</v>
      </c>
      <c r="T27" s="1" t="b">
        <f>IF(NOT(ISBLANK('Heat Index Table'!U26)),ROUND('CSV-Query'!T26,0)=ROUND('Heat Index Table'!U26,0),ISBLANK('CSV-Query'!T26))</f>
        <v>1</v>
      </c>
      <c r="U27" s="1" t="b">
        <f>IF(NOT(ISBLANK('Heat Index Table'!V26)),ROUND('CSV-Query'!U26,0)=ROUND('Heat Index Table'!V26,0),ISBLANK('CSV-Query'!U26))</f>
        <v>1</v>
      </c>
      <c r="V27" s="1" t="b">
        <f>IF(NOT(ISBLANK('Heat Index Table'!W26)),ROUND('CSV-Query'!V26,0)=ROUND('Heat Index Table'!W26,0),ISBLANK('CSV-Query'!V26))</f>
        <v>1</v>
      </c>
      <c r="W27" s="1" t="b">
        <f>IF(NOT(ISBLANK('Heat Index Table'!X26)),ROUND('CSV-Query'!W26,0)=ROUND('Heat Index Table'!X26,0),ISBLANK('CSV-Query'!W26))</f>
        <v>1</v>
      </c>
      <c r="X27" s="1" t="b">
        <f>IF(NOT(ISBLANK('Heat Index Table'!Y26)),ROUND('CSV-Query'!X26,0)=ROUND('Heat Index Table'!Y26,0),ISBLANK('CSV-Query'!X26))</f>
        <v>1</v>
      </c>
      <c r="Y27" s="1" t="b">
        <f>IF(NOT(ISBLANK('Heat Index Table'!Z26)),ROUND('CSV-Query'!Y26,0)=ROUND('Heat Index Table'!Z26,0),ISBLANK('CSV-Query'!Y26))</f>
        <v>1</v>
      </c>
      <c r="Z27" s="1" t="b">
        <f>IF(NOT(ISBLANK('Heat Index Table'!AA26)),ROUND('CSV-Query'!Z26,0)=ROUND('Heat Index Table'!AA26,0),ISBLANK('CSV-Query'!Z26))</f>
        <v>1</v>
      </c>
      <c r="AA27" s="1" t="b">
        <f>IF(NOT(ISBLANK('Heat Index Table'!AB26)),ROUND('CSV-Query'!AA26,0)=ROUND('Heat Index Table'!AB26,0),ISBLANK('CSV-Query'!AA26))</f>
        <v>1</v>
      </c>
      <c r="AB27" s="1" t="b">
        <f>IF(NOT(ISBLANK('Heat Index Table'!AC26)),ROUND('CSV-Query'!AB26,0)=ROUND('Heat Index Table'!AC26,0),ISBLANK('CSV-Query'!AB26))</f>
        <v>1</v>
      </c>
      <c r="AC27" s="1" t="b">
        <f>IF(NOT(ISBLANK('Heat Index Table'!AD26)),ROUND('CSV-Query'!AC26,0)=ROUND('Heat Index Table'!AD26,0),ISBLANK('CSV-Query'!AC26))</f>
        <v>1</v>
      </c>
      <c r="AD27" s="1" t="b">
        <f>IF(NOT(ISBLANK('Heat Index Table'!AE26)),ROUND('CSV-Query'!AD26,0)=ROUND('Heat Index Table'!AE26,0),ISBLANK('CSV-Query'!AD26))</f>
        <v>1</v>
      </c>
      <c r="AE27" s="1" t="b">
        <f>IF(NOT(ISBLANK('Heat Index Table'!AF26)),ROUND('CSV-Query'!AE26,0)=ROUND('Heat Index Table'!AF26,0),ISBLANK('CSV-Query'!AE26))</f>
        <v>1</v>
      </c>
      <c r="AF27" s="1" t="b">
        <f>IF(NOT(ISBLANK('Heat Index Table'!AG26)),ROUND('CSV-Query'!AF26,0)=ROUND('Heat Index Table'!AG26,0),ISBLANK('CSV-Query'!AF26))</f>
        <v>1</v>
      </c>
      <c r="AG27" s="1" t="b">
        <f>IF(NOT(ISBLANK('Heat Index Table'!AH26)),ROUND('CSV-Query'!AG26,0)=ROUND('Heat Index Table'!AH26,0),ISBLANK('CSV-Query'!AG26))</f>
        <v>1</v>
      </c>
      <c r="AH27" s="1" t="b">
        <f>IF(NOT(ISBLANK('Heat Index Table'!AI26)),ROUND('CSV-Query'!AH26,0)=ROUND('Heat Index Table'!AI26,0),ISBLANK('CSV-Query'!AH26))</f>
        <v>1</v>
      </c>
      <c r="AI27" s="1" t="b">
        <f>IF(NOT(ISBLANK('Heat Index Table'!AJ26)),ROUND('CSV-Query'!AI26,0)=ROUND('Heat Index Table'!AJ26,0),ISBLANK('CSV-Query'!AI26))</f>
        <v>1</v>
      </c>
      <c r="AJ27" s="1" t="b">
        <f>IF(NOT(ISBLANK('Heat Index Table'!AK26)),ROUND('CSV-Query'!AJ26,0)=ROUND('Heat Index Table'!AK26,0),ISBLANK('CSV-Query'!AJ26))</f>
        <v>1</v>
      </c>
      <c r="AK27" s="1" t="b">
        <f>IF(NOT(ISBLANK('Heat Index Table'!AL26)),ROUND('CSV-Query'!AK26,0)=ROUND('Heat Index Table'!AL26,0),ISBLANK('CSV-Query'!AK26))</f>
        <v>1</v>
      </c>
      <c r="AL27" s="1" t="b">
        <f>IF(NOT(ISBLANK('Heat Index Table'!AM26)),ROUND('CSV-Query'!AL26,0)=ROUND('Heat Index Table'!AM26,0),ISBLANK('CSV-Query'!AL26))</f>
        <v>1</v>
      </c>
      <c r="AM27" s="1" t="b">
        <f>IF(NOT(ISBLANK('Heat Index Table'!AN26)),ROUND('CSV-Query'!AM26,0)=ROUND('Heat Index Table'!AN26,0),ISBLANK('CSV-Query'!AM26))</f>
        <v>1</v>
      </c>
      <c r="AN27" s="1" t="b">
        <f>IF(NOT(ISBLANK('Heat Index Table'!AO26)),ROUND('CSV-Query'!AN26,0)=ROUND('Heat Index Table'!AO26,0),ISBLANK('CSV-Query'!AN26))</f>
        <v>1</v>
      </c>
      <c r="AO27" s="1" t="b">
        <f>IF(NOT(ISBLANK('Heat Index Table'!AP26)),ROUND('CSV-Query'!AO26,0)=ROUND('Heat Index Table'!AP26,0),ISBLANK('CSV-Query'!AO26))</f>
        <v>1</v>
      </c>
      <c r="AP27" s="1" t="b">
        <f>IF(NOT(ISBLANK('Heat Index Table'!AQ26)),ROUND('CSV-Query'!AP26,0)=ROUND('Heat Index Table'!AQ26,0),ISBLANK('CSV-Query'!AP26))</f>
        <v>1</v>
      </c>
      <c r="AQ27" s="1" t="b">
        <f>IF(NOT(ISBLANK('Heat Index Table'!AR26)),ROUND('CSV-Query'!AQ26,0)=ROUND('Heat Index Table'!AR26,0),ISBLANK('CSV-Query'!AQ26))</f>
        <v>1</v>
      </c>
      <c r="AR27" s="1" t="b">
        <f>IF(NOT(ISBLANK('Heat Index Table'!AS26)),ROUND('CSV-Query'!AR26,0)=ROUND('Heat Index Table'!AS26,0),ISBLANK('CSV-Query'!AR26))</f>
        <v>1</v>
      </c>
      <c r="AS27" s="1" t="b">
        <f>IF(NOT(ISBLANK('Heat Index Table'!AT26)),ROUND('CSV-Query'!AS26,0)=ROUND('Heat Index Table'!AT26,0),ISBLANK('CSV-Query'!AS26))</f>
        <v>1</v>
      </c>
      <c r="AT27" s="1" t="b">
        <f>IF(NOT(ISBLANK('Heat Index Table'!AU26)),ROUND('CSV-Query'!AT26,0)=ROUND('Heat Index Table'!AU26,0),ISBLANK('CSV-Query'!AT26))</f>
        <v>1</v>
      </c>
      <c r="AU27" s="1" t="b">
        <f>IF(NOT(ISBLANK('Heat Index Table'!AV26)),ROUND('CSV-Query'!AU26,0)=ROUND('Heat Index Table'!AV26,0),ISBLANK('CSV-Query'!AU26))</f>
        <v>1</v>
      </c>
      <c r="AV27" s="1" t="b">
        <f>IF(NOT(ISBLANK('Heat Index Table'!AW26)),ROUND('CSV-Query'!AV26,0)=ROUND('Heat Index Table'!AW26,0),ISBLANK('CSV-Query'!AV26))</f>
        <v>1</v>
      </c>
      <c r="AW27" s="1" t="b">
        <f>IF(NOT(ISBLANK('Heat Index Table'!AX26)),ROUND('CSV-Query'!AW26,0)=ROUND('Heat Index Table'!AX26,0),ISBLANK('CSV-Query'!AW26))</f>
        <v>1</v>
      </c>
      <c r="AX27" s="1" t="b">
        <f>IF(NOT(ISBLANK('Heat Index Table'!AY26)),ROUND('CSV-Query'!AX26,0)=ROUND('Heat Index Table'!AY26,0),ISBLANK('CSV-Query'!AX26))</f>
        <v>1</v>
      </c>
    </row>
    <row r="28" spans="1:50" x14ac:dyDescent="0.45">
      <c r="A28" s="1">
        <v>78</v>
      </c>
      <c r="B28" s="1" t="b">
        <f>IF(NOT(ISBLANK('Heat Index Table'!C27)),ROUND('CSV-Query'!B27,0)=ROUND('Heat Index Table'!C27,0),ISBLANK('CSV-Query'!B27))</f>
        <v>1</v>
      </c>
      <c r="C28" s="1" t="b">
        <f>IF(NOT(ISBLANK('Heat Index Table'!D27)),ROUND('CSV-Query'!C27,0)=ROUND('Heat Index Table'!D27,0),ISBLANK('CSV-Query'!C27))</f>
        <v>1</v>
      </c>
      <c r="D28" s="1" t="b">
        <f>IF(NOT(ISBLANK('Heat Index Table'!E27)),ROUND('CSV-Query'!D27,0)=ROUND('Heat Index Table'!E27,0),ISBLANK('CSV-Query'!D27))</f>
        <v>1</v>
      </c>
      <c r="E28" s="1" t="b">
        <f>IF(NOT(ISBLANK('Heat Index Table'!F27)),ROUND('CSV-Query'!E27,0)=ROUND('Heat Index Table'!F27,0),ISBLANK('CSV-Query'!E27))</f>
        <v>1</v>
      </c>
      <c r="F28" s="1" t="b">
        <f>IF(NOT(ISBLANK('Heat Index Table'!G27)),ROUND('CSV-Query'!F27,0)=ROUND('Heat Index Table'!G27,0),ISBLANK('CSV-Query'!F27))</f>
        <v>1</v>
      </c>
      <c r="G28" s="1" t="b">
        <f>IF(NOT(ISBLANK('Heat Index Table'!H27)),ROUND('CSV-Query'!G27,0)=ROUND('Heat Index Table'!H27,0),ISBLANK('CSV-Query'!G27))</f>
        <v>1</v>
      </c>
      <c r="H28" s="1" t="b">
        <f>IF(NOT(ISBLANK('Heat Index Table'!I27)),ROUND('CSV-Query'!H27,0)=ROUND('Heat Index Table'!I27,0),ISBLANK('CSV-Query'!H27))</f>
        <v>1</v>
      </c>
      <c r="I28" s="1" t="b">
        <f>IF(NOT(ISBLANK('Heat Index Table'!J27)),ROUND('CSV-Query'!I27,0)=ROUND('Heat Index Table'!J27,0),ISBLANK('CSV-Query'!I27))</f>
        <v>1</v>
      </c>
      <c r="J28" s="1" t="b">
        <f>IF(NOT(ISBLANK('Heat Index Table'!K27)),ROUND('CSV-Query'!J27,0)=ROUND('Heat Index Table'!K27,0),ISBLANK('CSV-Query'!J27))</f>
        <v>1</v>
      </c>
      <c r="K28" s="1" t="b">
        <f>IF(NOT(ISBLANK('Heat Index Table'!L27)),ROUND('CSV-Query'!K27,0)=ROUND('Heat Index Table'!L27,0),ISBLANK('CSV-Query'!K27))</f>
        <v>1</v>
      </c>
      <c r="L28" s="1" t="b">
        <f>IF(NOT(ISBLANK('Heat Index Table'!M27)),ROUND('CSV-Query'!L27,0)=ROUND('Heat Index Table'!M27,0),ISBLANK('CSV-Query'!L27))</f>
        <v>1</v>
      </c>
      <c r="M28" s="1" t="b">
        <f>IF(NOT(ISBLANK('Heat Index Table'!N27)),ROUND('CSV-Query'!M27,0)=ROUND('Heat Index Table'!N27,0),ISBLANK('CSV-Query'!M27))</f>
        <v>1</v>
      </c>
      <c r="N28" s="1" t="b">
        <f>IF(NOT(ISBLANK('Heat Index Table'!O27)),ROUND('CSV-Query'!N27,0)=ROUND('Heat Index Table'!O27,0),ISBLANK('CSV-Query'!N27))</f>
        <v>1</v>
      </c>
      <c r="O28" s="1" t="b">
        <f>IF(NOT(ISBLANK('Heat Index Table'!P27)),ROUND('CSV-Query'!O27,0)=ROUND('Heat Index Table'!P27,0),ISBLANK('CSV-Query'!O27))</f>
        <v>1</v>
      </c>
      <c r="P28" s="1" t="b">
        <f>IF(NOT(ISBLANK('Heat Index Table'!Q27)),ROUND('CSV-Query'!P27,0)=ROUND('Heat Index Table'!Q27,0),ISBLANK('CSV-Query'!P27))</f>
        <v>1</v>
      </c>
      <c r="Q28" s="1" t="b">
        <f>IF(NOT(ISBLANK('Heat Index Table'!R27)),ROUND('CSV-Query'!Q27,0)=ROUND('Heat Index Table'!R27,0),ISBLANK('CSV-Query'!Q27))</f>
        <v>1</v>
      </c>
      <c r="R28" s="1" t="b">
        <f>IF(NOT(ISBLANK('Heat Index Table'!S27)),ROUND('CSV-Query'!R27,0)=ROUND('Heat Index Table'!S27,0),ISBLANK('CSV-Query'!R27))</f>
        <v>1</v>
      </c>
      <c r="S28" s="1" t="b">
        <f>IF(NOT(ISBLANK('Heat Index Table'!T27)),ROUND('CSV-Query'!S27,0)=ROUND('Heat Index Table'!T27,0),ISBLANK('CSV-Query'!S27))</f>
        <v>1</v>
      </c>
      <c r="T28" s="1" t="b">
        <f>IF(NOT(ISBLANK('Heat Index Table'!U27)),ROUND('CSV-Query'!T27,0)=ROUND('Heat Index Table'!U27,0),ISBLANK('CSV-Query'!T27))</f>
        <v>1</v>
      </c>
      <c r="U28" s="1" t="b">
        <f>IF(NOT(ISBLANK('Heat Index Table'!V27)),ROUND('CSV-Query'!U27,0)=ROUND('Heat Index Table'!V27,0),ISBLANK('CSV-Query'!U27))</f>
        <v>1</v>
      </c>
      <c r="V28" s="1" t="b">
        <f>IF(NOT(ISBLANK('Heat Index Table'!W27)),ROUND('CSV-Query'!V27,0)=ROUND('Heat Index Table'!W27,0),ISBLANK('CSV-Query'!V27))</f>
        <v>1</v>
      </c>
      <c r="W28" s="1" t="b">
        <f>IF(NOT(ISBLANK('Heat Index Table'!X27)),ROUND('CSV-Query'!W27,0)=ROUND('Heat Index Table'!X27,0),ISBLANK('CSV-Query'!W27))</f>
        <v>1</v>
      </c>
      <c r="X28" s="1" t="b">
        <f>IF(NOT(ISBLANK('Heat Index Table'!Y27)),ROUND('CSV-Query'!X27,0)=ROUND('Heat Index Table'!Y27,0),ISBLANK('CSV-Query'!X27))</f>
        <v>1</v>
      </c>
      <c r="Y28" s="1" t="b">
        <f>IF(NOT(ISBLANK('Heat Index Table'!Z27)),ROUND('CSV-Query'!Y27,0)=ROUND('Heat Index Table'!Z27,0),ISBLANK('CSV-Query'!Y27))</f>
        <v>1</v>
      </c>
      <c r="Z28" s="1" t="b">
        <f>IF(NOT(ISBLANK('Heat Index Table'!AA27)),ROUND('CSV-Query'!Z27,0)=ROUND('Heat Index Table'!AA27,0),ISBLANK('CSV-Query'!Z27))</f>
        <v>1</v>
      </c>
      <c r="AA28" s="1" t="b">
        <f>IF(NOT(ISBLANK('Heat Index Table'!AB27)),ROUND('CSV-Query'!AA27,0)=ROUND('Heat Index Table'!AB27,0),ISBLANK('CSV-Query'!AA27))</f>
        <v>1</v>
      </c>
      <c r="AB28" s="1" t="b">
        <f>IF(NOT(ISBLANK('Heat Index Table'!AC27)),ROUND('CSV-Query'!AB27,0)=ROUND('Heat Index Table'!AC27,0),ISBLANK('CSV-Query'!AB27))</f>
        <v>1</v>
      </c>
      <c r="AC28" s="1" t="b">
        <f>IF(NOT(ISBLANK('Heat Index Table'!AD27)),ROUND('CSV-Query'!AC27,0)=ROUND('Heat Index Table'!AD27,0),ISBLANK('CSV-Query'!AC27))</f>
        <v>1</v>
      </c>
      <c r="AD28" s="1" t="b">
        <f>IF(NOT(ISBLANK('Heat Index Table'!AE27)),ROUND('CSV-Query'!AD27,0)=ROUND('Heat Index Table'!AE27,0),ISBLANK('CSV-Query'!AD27))</f>
        <v>1</v>
      </c>
      <c r="AE28" s="1" t="b">
        <f>IF(NOT(ISBLANK('Heat Index Table'!AF27)),ROUND('CSV-Query'!AE27,0)=ROUND('Heat Index Table'!AF27,0),ISBLANK('CSV-Query'!AE27))</f>
        <v>1</v>
      </c>
      <c r="AF28" s="1" t="b">
        <f>IF(NOT(ISBLANK('Heat Index Table'!AG27)),ROUND('CSV-Query'!AF27,0)=ROUND('Heat Index Table'!AG27,0),ISBLANK('CSV-Query'!AF27))</f>
        <v>1</v>
      </c>
      <c r="AG28" s="1" t="b">
        <f>IF(NOT(ISBLANK('Heat Index Table'!AH27)),ROUND('CSV-Query'!AG27,0)=ROUND('Heat Index Table'!AH27,0),ISBLANK('CSV-Query'!AG27))</f>
        <v>1</v>
      </c>
      <c r="AH28" s="1" t="b">
        <f>IF(NOT(ISBLANK('Heat Index Table'!AI27)),ROUND('CSV-Query'!AH27,0)=ROUND('Heat Index Table'!AI27,0),ISBLANK('CSV-Query'!AH27))</f>
        <v>1</v>
      </c>
      <c r="AI28" s="1" t="b">
        <f>IF(NOT(ISBLANK('Heat Index Table'!AJ27)),ROUND('CSV-Query'!AI27,0)=ROUND('Heat Index Table'!AJ27,0),ISBLANK('CSV-Query'!AI27))</f>
        <v>1</v>
      </c>
      <c r="AJ28" s="1" t="b">
        <f>IF(NOT(ISBLANK('Heat Index Table'!AK27)),ROUND('CSV-Query'!AJ27,0)=ROUND('Heat Index Table'!AK27,0),ISBLANK('CSV-Query'!AJ27))</f>
        <v>1</v>
      </c>
      <c r="AK28" s="1" t="b">
        <f>IF(NOT(ISBLANK('Heat Index Table'!AL27)),ROUND('CSV-Query'!AK27,0)=ROUND('Heat Index Table'!AL27,0),ISBLANK('CSV-Query'!AK27))</f>
        <v>1</v>
      </c>
      <c r="AL28" s="1" t="b">
        <f>IF(NOT(ISBLANK('Heat Index Table'!AM27)),ROUND('CSV-Query'!AL27,0)=ROUND('Heat Index Table'!AM27,0),ISBLANK('CSV-Query'!AL27))</f>
        <v>1</v>
      </c>
      <c r="AM28" s="1" t="b">
        <f>IF(NOT(ISBLANK('Heat Index Table'!AN27)),ROUND('CSV-Query'!AM27,0)=ROUND('Heat Index Table'!AN27,0),ISBLANK('CSV-Query'!AM27))</f>
        <v>1</v>
      </c>
      <c r="AN28" s="1" t="b">
        <f>IF(NOT(ISBLANK('Heat Index Table'!AO27)),ROUND('CSV-Query'!AN27,0)=ROUND('Heat Index Table'!AO27,0),ISBLANK('CSV-Query'!AN27))</f>
        <v>1</v>
      </c>
      <c r="AO28" s="1" t="b">
        <f>IF(NOT(ISBLANK('Heat Index Table'!AP27)),ROUND('CSV-Query'!AO27,0)=ROUND('Heat Index Table'!AP27,0),ISBLANK('CSV-Query'!AO27))</f>
        <v>1</v>
      </c>
      <c r="AP28" s="1" t="b">
        <f>IF(NOT(ISBLANK('Heat Index Table'!AQ27)),ROUND('CSV-Query'!AP27,0)=ROUND('Heat Index Table'!AQ27,0),ISBLANK('CSV-Query'!AP27))</f>
        <v>1</v>
      </c>
      <c r="AQ28" s="1" t="b">
        <f>IF(NOT(ISBLANK('Heat Index Table'!AR27)),ROUND('CSV-Query'!AQ27,0)=ROUND('Heat Index Table'!AR27,0),ISBLANK('CSV-Query'!AQ27))</f>
        <v>1</v>
      </c>
      <c r="AR28" s="1" t="b">
        <f>IF(NOT(ISBLANK('Heat Index Table'!AS27)),ROUND('CSV-Query'!AR27,0)=ROUND('Heat Index Table'!AS27,0),ISBLANK('CSV-Query'!AR27))</f>
        <v>1</v>
      </c>
      <c r="AS28" s="1" t="b">
        <f>IF(NOT(ISBLANK('Heat Index Table'!AT27)),ROUND('CSV-Query'!AS27,0)=ROUND('Heat Index Table'!AT27,0),ISBLANK('CSV-Query'!AS27))</f>
        <v>1</v>
      </c>
      <c r="AT28" s="1" t="b">
        <f>IF(NOT(ISBLANK('Heat Index Table'!AU27)),ROUND('CSV-Query'!AT27,0)=ROUND('Heat Index Table'!AU27,0),ISBLANK('CSV-Query'!AT27))</f>
        <v>1</v>
      </c>
      <c r="AU28" s="1" t="b">
        <f>IF(NOT(ISBLANK('Heat Index Table'!AV27)),ROUND('CSV-Query'!AU27,0)=ROUND('Heat Index Table'!AV27,0),ISBLANK('CSV-Query'!AU27))</f>
        <v>1</v>
      </c>
      <c r="AV28" s="1" t="b">
        <f>IF(NOT(ISBLANK('Heat Index Table'!AW27)),ROUND('CSV-Query'!AV27,0)=ROUND('Heat Index Table'!AW27,0),ISBLANK('CSV-Query'!AV27))</f>
        <v>1</v>
      </c>
      <c r="AW28" s="1" t="b">
        <f>IF(NOT(ISBLANK('Heat Index Table'!AX27)),ROUND('CSV-Query'!AW27,0)=ROUND('Heat Index Table'!AX27,0),ISBLANK('CSV-Query'!AW27))</f>
        <v>1</v>
      </c>
      <c r="AX28" s="1" t="b">
        <f>IF(NOT(ISBLANK('Heat Index Table'!AY27)),ROUND('CSV-Query'!AX27,0)=ROUND('Heat Index Table'!AY27,0),ISBLANK('CSV-Query'!AX27))</f>
        <v>1</v>
      </c>
    </row>
    <row r="29" spans="1:50" x14ac:dyDescent="0.45">
      <c r="A29" s="1">
        <v>76</v>
      </c>
      <c r="B29" s="1" t="b">
        <f>IF(NOT(ISBLANK('Heat Index Table'!C28)),ROUND('CSV-Query'!B28,0)=ROUND('Heat Index Table'!C28,0),ISBLANK('CSV-Query'!B28))</f>
        <v>1</v>
      </c>
      <c r="C29" s="1" t="b">
        <f>IF(NOT(ISBLANK('Heat Index Table'!D28)),ROUND('CSV-Query'!C28,0)=ROUND('Heat Index Table'!D28,0),ISBLANK('CSV-Query'!C28))</f>
        <v>1</v>
      </c>
      <c r="D29" s="1" t="b">
        <f>IF(NOT(ISBLANK('Heat Index Table'!E28)),ROUND('CSV-Query'!D28,0)=ROUND('Heat Index Table'!E28,0),ISBLANK('CSV-Query'!D28))</f>
        <v>1</v>
      </c>
      <c r="E29" s="1" t="b">
        <f>IF(NOT(ISBLANK('Heat Index Table'!F28)),ROUND('CSV-Query'!E28,0)=ROUND('Heat Index Table'!F28,0),ISBLANK('CSV-Query'!E28))</f>
        <v>1</v>
      </c>
      <c r="F29" s="1" t="b">
        <f>IF(NOT(ISBLANK('Heat Index Table'!G28)),ROUND('CSV-Query'!F28,0)=ROUND('Heat Index Table'!G28,0),ISBLANK('CSV-Query'!F28))</f>
        <v>1</v>
      </c>
      <c r="G29" s="1" t="b">
        <f>IF(NOT(ISBLANK('Heat Index Table'!H28)),ROUND('CSV-Query'!G28,0)=ROUND('Heat Index Table'!H28,0),ISBLANK('CSV-Query'!G28))</f>
        <v>1</v>
      </c>
      <c r="H29" s="1" t="b">
        <f>IF(NOT(ISBLANK('Heat Index Table'!I28)),ROUND('CSV-Query'!H28,0)=ROUND('Heat Index Table'!I28,0),ISBLANK('CSV-Query'!H28))</f>
        <v>1</v>
      </c>
      <c r="I29" s="1" t="b">
        <f>IF(NOT(ISBLANK('Heat Index Table'!J28)),ROUND('CSV-Query'!I28,0)=ROUND('Heat Index Table'!J28,0),ISBLANK('CSV-Query'!I28))</f>
        <v>1</v>
      </c>
      <c r="J29" s="1" t="b">
        <f>IF(NOT(ISBLANK('Heat Index Table'!K28)),ROUND('CSV-Query'!J28,0)=ROUND('Heat Index Table'!K28,0),ISBLANK('CSV-Query'!J28))</f>
        <v>1</v>
      </c>
      <c r="K29" s="1" t="b">
        <f>IF(NOT(ISBLANK('Heat Index Table'!L28)),ROUND('CSV-Query'!K28,0)=ROUND('Heat Index Table'!L28,0),ISBLANK('CSV-Query'!K28))</f>
        <v>1</v>
      </c>
      <c r="L29" s="1" t="b">
        <f>IF(NOT(ISBLANK('Heat Index Table'!M28)),ROUND('CSV-Query'!L28,0)=ROUND('Heat Index Table'!M28,0),ISBLANK('CSV-Query'!L28))</f>
        <v>1</v>
      </c>
      <c r="M29" s="1" t="b">
        <f>IF(NOT(ISBLANK('Heat Index Table'!N28)),ROUND('CSV-Query'!M28,0)=ROUND('Heat Index Table'!N28,0),ISBLANK('CSV-Query'!M28))</f>
        <v>1</v>
      </c>
      <c r="N29" s="1" t="b">
        <f>IF(NOT(ISBLANK('Heat Index Table'!O28)),ROUND('CSV-Query'!N28,0)=ROUND('Heat Index Table'!O28,0),ISBLANK('CSV-Query'!N28))</f>
        <v>1</v>
      </c>
      <c r="O29" s="1" t="b">
        <f>IF(NOT(ISBLANK('Heat Index Table'!P28)),ROUND('CSV-Query'!O28,0)=ROUND('Heat Index Table'!P28,0),ISBLANK('CSV-Query'!O28))</f>
        <v>1</v>
      </c>
      <c r="P29" s="1" t="b">
        <f>IF(NOT(ISBLANK('Heat Index Table'!Q28)),ROUND('CSV-Query'!P28,0)=ROUND('Heat Index Table'!Q28,0),ISBLANK('CSV-Query'!P28))</f>
        <v>1</v>
      </c>
      <c r="Q29" s="1" t="b">
        <f>IF(NOT(ISBLANK('Heat Index Table'!R28)),ROUND('CSV-Query'!Q28,0)=ROUND('Heat Index Table'!R28,0),ISBLANK('CSV-Query'!Q28))</f>
        <v>1</v>
      </c>
      <c r="R29" s="1" t="b">
        <f>IF(NOT(ISBLANK('Heat Index Table'!S28)),ROUND('CSV-Query'!R28,0)=ROUND('Heat Index Table'!S28,0),ISBLANK('CSV-Query'!R28))</f>
        <v>1</v>
      </c>
      <c r="S29" s="1" t="b">
        <f>IF(NOT(ISBLANK('Heat Index Table'!T28)),ROUND('CSV-Query'!S28,0)=ROUND('Heat Index Table'!T28,0),ISBLANK('CSV-Query'!S28))</f>
        <v>1</v>
      </c>
      <c r="T29" s="1" t="b">
        <f>IF(NOT(ISBLANK('Heat Index Table'!U28)),ROUND('CSV-Query'!T28,0)=ROUND('Heat Index Table'!U28,0),ISBLANK('CSV-Query'!T28))</f>
        <v>1</v>
      </c>
      <c r="U29" s="1" t="b">
        <f>IF(NOT(ISBLANK('Heat Index Table'!V28)),ROUND('CSV-Query'!U28,0)=ROUND('Heat Index Table'!V28,0),ISBLANK('CSV-Query'!U28))</f>
        <v>1</v>
      </c>
      <c r="V29" s="1" t="b">
        <f>IF(NOT(ISBLANK('Heat Index Table'!W28)),ROUND('CSV-Query'!V28,0)=ROUND('Heat Index Table'!W28,0),ISBLANK('CSV-Query'!V28))</f>
        <v>1</v>
      </c>
      <c r="W29" s="1" t="b">
        <f>IF(NOT(ISBLANK('Heat Index Table'!X28)),ROUND('CSV-Query'!W28,0)=ROUND('Heat Index Table'!X28,0),ISBLANK('CSV-Query'!W28))</f>
        <v>1</v>
      </c>
      <c r="X29" s="1" t="b">
        <f>IF(NOT(ISBLANK('Heat Index Table'!Y28)),ROUND('CSV-Query'!X28,0)=ROUND('Heat Index Table'!Y28,0),ISBLANK('CSV-Query'!X28))</f>
        <v>1</v>
      </c>
      <c r="Y29" s="1" t="b">
        <f>IF(NOT(ISBLANK('Heat Index Table'!Z28)),ROUND('CSV-Query'!Y28,0)=ROUND('Heat Index Table'!Z28,0),ISBLANK('CSV-Query'!Y28))</f>
        <v>1</v>
      </c>
      <c r="Z29" s="1" t="b">
        <f>IF(NOT(ISBLANK('Heat Index Table'!AA28)),ROUND('CSV-Query'!Z28,0)=ROUND('Heat Index Table'!AA28,0),ISBLANK('CSV-Query'!Z28))</f>
        <v>1</v>
      </c>
      <c r="AA29" s="1" t="b">
        <f>IF(NOT(ISBLANK('Heat Index Table'!AB28)),ROUND('CSV-Query'!AA28,0)=ROUND('Heat Index Table'!AB28,0),ISBLANK('CSV-Query'!AA28))</f>
        <v>1</v>
      </c>
      <c r="AB29" s="1" t="b">
        <f>IF(NOT(ISBLANK('Heat Index Table'!AC28)),ROUND('CSV-Query'!AB28,0)=ROUND('Heat Index Table'!AC28,0),ISBLANK('CSV-Query'!AB28))</f>
        <v>1</v>
      </c>
      <c r="AC29" s="1" t="b">
        <f>IF(NOT(ISBLANK('Heat Index Table'!AD28)),ROUND('CSV-Query'!AC28,0)=ROUND('Heat Index Table'!AD28,0),ISBLANK('CSV-Query'!AC28))</f>
        <v>1</v>
      </c>
      <c r="AD29" s="1" t="b">
        <f>IF(NOT(ISBLANK('Heat Index Table'!AE28)),ROUND('CSV-Query'!AD28,0)=ROUND('Heat Index Table'!AE28,0),ISBLANK('CSV-Query'!AD28))</f>
        <v>1</v>
      </c>
      <c r="AE29" s="1" t="b">
        <f>IF(NOT(ISBLANK('Heat Index Table'!AF28)),ROUND('CSV-Query'!AE28,0)=ROUND('Heat Index Table'!AF28,0),ISBLANK('CSV-Query'!AE28))</f>
        <v>1</v>
      </c>
      <c r="AF29" s="1" t="b">
        <f>IF(NOT(ISBLANK('Heat Index Table'!AG28)),ROUND('CSV-Query'!AF28,0)=ROUND('Heat Index Table'!AG28,0),ISBLANK('CSV-Query'!AF28))</f>
        <v>1</v>
      </c>
      <c r="AG29" s="1" t="b">
        <f>IF(NOT(ISBLANK('Heat Index Table'!AH28)),ROUND('CSV-Query'!AG28,0)=ROUND('Heat Index Table'!AH28,0),ISBLANK('CSV-Query'!AG28))</f>
        <v>1</v>
      </c>
      <c r="AH29" s="1" t="b">
        <f>IF(NOT(ISBLANK('Heat Index Table'!AI28)),ROUND('CSV-Query'!AH28,0)=ROUND('Heat Index Table'!AI28,0),ISBLANK('CSV-Query'!AH28))</f>
        <v>1</v>
      </c>
      <c r="AI29" s="1" t="b">
        <f>IF(NOT(ISBLANK('Heat Index Table'!AJ28)),ROUND('CSV-Query'!AI28,0)=ROUND('Heat Index Table'!AJ28,0),ISBLANK('CSV-Query'!AI28))</f>
        <v>1</v>
      </c>
      <c r="AJ29" s="1" t="b">
        <f>IF(NOT(ISBLANK('Heat Index Table'!AK28)),ROUND('CSV-Query'!AJ28,0)=ROUND('Heat Index Table'!AK28,0),ISBLANK('CSV-Query'!AJ28))</f>
        <v>1</v>
      </c>
      <c r="AK29" s="1" t="b">
        <f>IF(NOT(ISBLANK('Heat Index Table'!AL28)),ROUND('CSV-Query'!AK28,0)=ROUND('Heat Index Table'!AL28,0),ISBLANK('CSV-Query'!AK28))</f>
        <v>1</v>
      </c>
      <c r="AL29" s="1" t="b">
        <f>IF(NOT(ISBLANK('Heat Index Table'!AM28)),ROUND('CSV-Query'!AL28,0)=ROUND('Heat Index Table'!AM28,0),ISBLANK('CSV-Query'!AL28))</f>
        <v>1</v>
      </c>
      <c r="AM29" s="1" t="b">
        <f>IF(NOT(ISBLANK('Heat Index Table'!AN28)),ROUND('CSV-Query'!AM28,0)=ROUND('Heat Index Table'!AN28,0),ISBLANK('CSV-Query'!AM28))</f>
        <v>1</v>
      </c>
      <c r="AN29" s="1" t="b">
        <f>IF(NOT(ISBLANK('Heat Index Table'!AO28)),ROUND('CSV-Query'!AN28,0)=ROUND('Heat Index Table'!AO28,0),ISBLANK('CSV-Query'!AN28))</f>
        <v>1</v>
      </c>
      <c r="AO29" s="1" t="b">
        <f>IF(NOT(ISBLANK('Heat Index Table'!AP28)),ROUND('CSV-Query'!AO28,0)=ROUND('Heat Index Table'!AP28,0),ISBLANK('CSV-Query'!AO28))</f>
        <v>1</v>
      </c>
      <c r="AP29" s="1" t="b">
        <f>IF(NOT(ISBLANK('Heat Index Table'!AQ28)),ROUND('CSV-Query'!AP28,0)=ROUND('Heat Index Table'!AQ28,0),ISBLANK('CSV-Query'!AP28))</f>
        <v>1</v>
      </c>
      <c r="AQ29" s="1" t="b">
        <f>IF(NOT(ISBLANK('Heat Index Table'!AR28)),ROUND('CSV-Query'!AQ28,0)=ROUND('Heat Index Table'!AR28,0),ISBLANK('CSV-Query'!AQ28))</f>
        <v>1</v>
      </c>
      <c r="AR29" s="1" t="b">
        <f>IF(NOT(ISBLANK('Heat Index Table'!AS28)),ROUND('CSV-Query'!AR28,0)=ROUND('Heat Index Table'!AS28,0),ISBLANK('CSV-Query'!AR28))</f>
        <v>1</v>
      </c>
      <c r="AS29" s="1" t="b">
        <f>IF(NOT(ISBLANK('Heat Index Table'!AT28)),ROUND('CSV-Query'!AS28,0)=ROUND('Heat Index Table'!AT28,0),ISBLANK('CSV-Query'!AS28))</f>
        <v>1</v>
      </c>
      <c r="AT29" s="1" t="b">
        <f>IF(NOT(ISBLANK('Heat Index Table'!AU28)),ROUND('CSV-Query'!AT28,0)=ROUND('Heat Index Table'!AU28,0),ISBLANK('CSV-Query'!AT28))</f>
        <v>1</v>
      </c>
      <c r="AU29" s="1" t="b">
        <f>IF(NOT(ISBLANK('Heat Index Table'!AV28)),ROUND('CSV-Query'!AU28,0)=ROUND('Heat Index Table'!AV28,0),ISBLANK('CSV-Query'!AU28))</f>
        <v>1</v>
      </c>
      <c r="AV29" s="1" t="b">
        <f>IF(NOT(ISBLANK('Heat Index Table'!AW28)),ROUND('CSV-Query'!AV28,0)=ROUND('Heat Index Table'!AW28,0),ISBLANK('CSV-Query'!AV28))</f>
        <v>1</v>
      </c>
      <c r="AW29" s="1" t="b">
        <f>IF(NOT(ISBLANK('Heat Index Table'!AX28)),ROUND('CSV-Query'!AW28,0)=ROUND('Heat Index Table'!AX28,0),ISBLANK('CSV-Query'!AW28))</f>
        <v>1</v>
      </c>
      <c r="AX29" s="1" t="b">
        <f>IF(NOT(ISBLANK('Heat Index Table'!AY28)),ROUND('CSV-Query'!AX28,0)=ROUND('Heat Index Table'!AY28,0),ISBLANK('CSV-Query'!AX28))</f>
        <v>1</v>
      </c>
    </row>
    <row r="31" spans="1:50" x14ac:dyDescent="0.45">
      <c r="A31"/>
    </row>
  </sheetData>
  <conditionalFormatting sqref="B4:AX29">
    <cfRule type="cellIs" dxfId="0" priority="1" operator="equal">
      <formula>FALSE</formula>
    </cfRule>
  </conditionalFormatting>
  <pageMargins left="0.7" right="0.7" top="0.75" bottom="0.75" header="0.3" footer="0.3"/>
  <pageSetup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C390A4-42AE-4F43-AC2A-0414029577BA}">
  <sheetPr codeName="Sheet5"/>
  <dimension ref="A1:AX28"/>
  <sheetViews>
    <sheetView workbookViewId="0">
      <selection sqref="A1:AX28"/>
    </sheetView>
  </sheetViews>
  <sheetFormatPr defaultRowHeight="14.25" x14ac:dyDescent="0.45"/>
  <cols>
    <col min="1" max="1" width="10.19921875" bestFit="1" customWidth="1"/>
    <col min="2" max="50" width="11.73046875" bestFit="1" customWidth="1"/>
  </cols>
  <sheetData>
    <row r="1" spans="1:50" x14ac:dyDescent="0.45">
      <c r="A1" t="s">
        <v>10</v>
      </c>
      <c r="B1" t="s">
        <v>11</v>
      </c>
      <c r="C1" t="s">
        <v>12</v>
      </c>
      <c r="D1" t="s">
        <v>13</v>
      </c>
      <c r="E1" t="s">
        <v>14</v>
      </c>
      <c r="F1" t="s">
        <v>15</v>
      </c>
      <c r="G1" t="s">
        <v>16</v>
      </c>
      <c r="H1" t="s">
        <v>17</v>
      </c>
      <c r="I1" t="s">
        <v>18</v>
      </c>
      <c r="J1" t="s">
        <v>19</v>
      </c>
      <c r="K1" t="s">
        <v>20</v>
      </c>
      <c r="L1" t="s">
        <v>21</v>
      </c>
      <c r="M1" t="s">
        <v>22</v>
      </c>
      <c r="N1" t="s">
        <v>23</v>
      </c>
      <c r="O1" t="s">
        <v>24</v>
      </c>
      <c r="P1" t="s">
        <v>25</v>
      </c>
      <c r="Q1" t="s">
        <v>26</v>
      </c>
      <c r="R1" t="s">
        <v>27</v>
      </c>
      <c r="S1" t="s">
        <v>28</v>
      </c>
      <c r="T1" t="s">
        <v>29</v>
      </c>
      <c r="U1" t="s">
        <v>30</v>
      </c>
      <c r="V1" t="s">
        <v>31</v>
      </c>
      <c r="W1" t="s">
        <v>32</v>
      </c>
      <c r="X1" t="s">
        <v>33</v>
      </c>
      <c r="Y1" t="s">
        <v>34</v>
      </c>
      <c r="Z1" t="s">
        <v>35</v>
      </c>
      <c r="AA1" t="s">
        <v>36</v>
      </c>
      <c r="AB1" t="s">
        <v>37</v>
      </c>
      <c r="AC1" t="s">
        <v>38</v>
      </c>
      <c r="AD1" t="s">
        <v>39</v>
      </c>
      <c r="AE1" t="s">
        <v>40</v>
      </c>
      <c r="AF1" t="s">
        <v>41</v>
      </c>
      <c r="AG1" t="s">
        <v>42</v>
      </c>
      <c r="AH1" t="s">
        <v>43</v>
      </c>
      <c r="AI1" t="s">
        <v>44</v>
      </c>
      <c r="AJ1" t="s">
        <v>45</v>
      </c>
      <c r="AK1" t="s">
        <v>46</v>
      </c>
      <c r="AL1" t="s">
        <v>47</v>
      </c>
      <c r="AM1" t="s">
        <v>48</v>
      </c>
      <c r="AN1" t="s">
        <v>49</v>
      </c>
      <c r="AO1" t="s">
        <v>50</v>
      </c>
      <c r="AP1" t="s">
        <v>51</v>
      </c>
      <c r="AQ1" t="s">
        <v>52</v>
      </c>
      <c r="AR1" t="s">
        <v>53</v>
      </c>
      <c r="AS1" t="s">
        <v>54</v>
      </c>
      <c r="AT1" t="s">
        <v>55</v>
      </c>
      <c r="AU1" t="s">
        <v>56</v>
      </c>
      <c r="AV1" t="s">
        <v>57</v>
      </c>
      <c r="AW1" t="s">
        <v>58</v>
      </c>
      <c r="AX1" t="s">
        <v>59</v>
      </c>
    </row>
    <row r="2" spans="1:50" x14ac:dyDescent="0.45">
      <c r="A2" s="7" t="s">
        <v>8</v>
      </c>
      <c r="B2">
        <v>4</v>
      </c>
      <c r="C2">
        <v>6</v>
      </c>
      <c r="D2">
        <v>8</v>
      </c>
      <c r="E2">
        <v>10</v>
      </c>
      <c r="F2">
        <v>12</v>
      </c>
      <c r="G2">
        <v>14</v>
      </c>
      <c r="H2">
        <v>16</v>
      </c>
      <c r="I2">
        <v>18</v>
      </c>
      <c r="J2">
        <v>20</v>
      </c>
      <c r="K2">
        <v>22</v>
      </c>
      <c r="L2">
        <v>24</v>
      </c>
      <c r="M2">
        <v>26</v>
      </c>
      <c r="N2">
        <v>28</v>
      </c>
      <c r="O2">
        <v>30</v>
      </c>
      <c r="P2">
        <v>32</v>
      </c>
      <c r="Q2">
        <v>34</v>
      </c>
      <c r="R2">
        <v>36</v>
      </c>
      <c r="S2">
        <v>38</v>
      </c>
      <c r="T2">
        <v>40</v>
      </c>
      <c r="U2">
        <v>42</v>
      </c>
      <c r="V2">
        <v>44</v>
      </c>
      <c r="W2">
        <v>46</v>
      </c>
      <c r="X2">
        <v>48</v>
      </c>
      <c r="Y2">
        <v>50</v>
      </c>
      <c r="Z2">
        <v>52</v>
      </c>
      <c r="AA2">
        <v>54</v>
      </c>
      <c r="AB2">
        <v>56</v>
      </c>
      <c r="AC2">
        <v>58</v>
      </c>
      <c r="AD2">
        <v>60</v>
      </c>
      <c r="AE2">
        <v>62</v>
      </c>
      <c r="AF2">
        <v>64</v>
      </c>
      <c r="AG2">
        <v>66</v>
      </c>
      <c r="AH2">
        <v>68</v>
      </c>
      <c r="AI2">
        <v>70</v>
      </c>
      <c r="AJ2">
        <v>72</v>
      </c>
      <c r="AK2">
        <v>74</v>
      </c>
      <c r="AL2">
        <v>76</v>
      </c>
      <c r="AM2">
        <v>78</v>
      </c>
      <c r="AN2">
        <v>80</v>
      </c>
      <c r="AO2">
        <v>82</v>
      </c>
      <c r="AP2">
        <v>84</v>
      </c>
      <c r="AQ2">
        <v>86</v>
      </c>
      <c r="AR2">
        <v>88</v>
      </c>
      <c r="AS2">
        <v>90</v>
      </c>
      <c r="AT2">
        <v>92</v>
      </c>
      <c r="AU2">
        <v>94</v>
      </c>
      <c r="AV2">
        <v>96</v>
      </c>
      <c r="AW2">
        <v>98</v>
      </c>
      <c r="AX2">
        <v>100</v>
      </c>
    </row>
    <row r="3" spans="1:50" x14ac:dyDescent="0.45">
      <c r="A3" s="7" t="s">
        <v>60</v>
      </c>
      <c r="B3">
        <v>112.90275186000001</v>
      </c>
      <c r="C3">
        <v>115.98690176000005</v>
      </c>
      <c r="D3">
        <v>119.23941094000006</v>
      </c>
      <c r="E3">
        <v>122.66027940000002</v>
      </c>
      <c r="F3">
        <v>126.24950714000011</v>
      </c>
      <c r="G3">
        <v>130.00709416000001</v>
      </c>
      <c r="H3">
        <v>133.93304046000009</v>
      </c>
      <c r="I3">
        <v>138.02734604000011</v>
      </c>
      <c r="J3">
        <v>142.29001090000003</v>
      </c>
      <c r="K3">
        <v>146.72103504000015</v>
      </c>
      <c r="L3">
        <v>151.3204184600001</v>
      </c>
      <c r="M3">
        <v>156.08816116000017</v>
      </c>
      <c r="N3">
        <v>161.02426314000004</v>
      </c>
      <c r="O3">
        <v>166.12872440000007</v>
      </c>
      <c r="P3">
        <v>171.40154494000021</v>
      </c>
      <c r="Q3">
        <v>176.84272476000012</v>
      </c>
      <c r="R3">
        <v>182.45226386000024</v>
      </c>
    </row>
    <row r="4" spans="1:50" x14ac:dyDescent="0.45">
      <c r="A4" s="7" t="s">
        <v>61</v>
      </c>
      <c r="B4">
        <v>111.55282944000002</v>
      </c>
      <c r="C4">
        <v>114.29304818000007</v>
      </c>
      <c r="D4">
        <v>117.19594108000004</v>
      </c>
      <c r="E4">
        <v>120.26150814000006</v>
      </c>
      <c r="F4">
        <v>123.48974936000008</v>
      </c>
      <c r="G4">
        <v>126.88066474000001</v>
      </c>
      <c r="H4">
        <v>130.43425428000012</v>
      </c>
      <c r="I4">
        <v>134.1505179800001</v>
      </c>
      <c r="J4">
        <v>138.02945584000011</v>
      </c>
      <c r="K4">
        <v>142.07106786000014</v>
      </c>
      <c r="L4">
        <v>146.27535404000014</v>
      </c>
      <c r="M4">
        <v>150.64231438000007</v>
      </c>
      <c r="N4">
        <v>155.17194888000012</v>
      </c>
      <c r="O4">
        <v>159.86425754000027</v>
      </c>
      <c r="P4">
        <v>164.71924036000013</v>
      </c>
      <c r="Q4">
        <v>169.73689734000004</v>
      </c>
      <c r="R4">
        <v>174.91722848000015</v>
      </c>
      <c r="S4">
        <v>180.26023378000016</v>
      </c>
    </row>
    <row r="5" spans="1:50" x14ac:dyDescent="0.45">
      <c r="A5" s="7" t="s">
        <v>62</v>
      </c>
      <c r="B5">
        <v>110.18726934000004</v>
      </c>
      <c r="C5">
        <v>112.60289836000005</v>
      </c>
      <c r="D5">
        <v>115.17538906000009</v>
      </c>
      <c r="E5">
        <v>117.90474144000009</v>
      </c>
      <c r="F5">
        <v>120.79095550000007</v>
      </c>
      <c r="G5">
        <v>123.83403124000006</v>
      </c>
      <c r="H5">
        <v>127.03396866000011</v>
      </c>
      <c r="I5">
        <v>130.39076776000016</v>
      </c>
      <c r="J5">
        <v>133.90442854000014</v>
      </c>
      <c r="K5">
        <v>137.57495100000008</v>
      </c>
      <c r="L5">
        <v>141.40233514000016</v>
      </c>
      <c r="M5">
        <v>145.38658096000009</v>
      </c>
      <c r="N5">
        <v>149.52768845999998</v>
      </c>
      <c r="O5">
        <v>153.82565764000014</v>
      </c>
      <c r="P5">
        <v>158.28048850000013</v>
      </c>
      <c r="Q5">
        <v>162.8921810400002</v>
      </c>
      <c r="R5">
        <v>167.66073526000019</v>
      </c>
      <c r="S5">
        <v>172.58615116000016</v>
      </c>
      <c r="T5">
        <v>177.66842874000022</v>
      </c>
      <c r="U5">
        <v>182.90756800000008</v>
      </c>
    </row>
    <row r="6" spans="1:50" x14ac:dyDescent="0.45">
      <c r="A6" s="7" t="s">
        <v>63</v>
      </c>
      <c r="B6">
        <v>108.80607156000003</v>
      </c>
      <c r="C6">
        <v>110.91645230000005</v>
      </c>
      <c r="D6">
        <v>113.17775488000007</v>
      </c>
      <c r="E6">
        <v>115.58997930000007</v>
      </c>
      <c r="F6">
        <v>118.15312556000005</v>
      </c>
      <c r="G6">
        <v>120.86719366000007</v>
      </c>
      <c r="H6">
        <v>123.7321836000001</v>
      </c>
      <c r="I6">
        <v>126.74809538000012</v>
      </c>
      <c r="J6">
        <v>129.91492900000009</v>
      </c>
      <c r="K6">
        <v>133.23268446000012</v>
      </c>
      <c r="L6">
        <v>136.70136176000022</v>
      </c>
      <c r="M6">
        <v>140.32096090000007</v>
      </c>
      <c r="N6">
        <v>144.09148188000003</v>
      </c>
      <c r="O6">
        <v>148.01292470000018</v>
      </c>
      <c r="P6">
        <v>152.0852893600001</v>
      </c>
      <c r="Q6">
        <v>156.3085758600001</v>
      </c>
      <c r="R6">
        <v>160.68278420000013</v>
      </c>
      <c r="S6">
        <v>165.20791438000012</v>
      </c>
      <c r="T6">
        <v>169.88396640000016</v>
      </c>
      <c r="U6">
        <v>174.71094026000006</v>
      </c>
      <c r="V6">
        <v>179.68883596000035</v>
      </c>
    </row>
    <row r="7" spans="1:50" x14ac:dyDescent="0.45">
      <c r="A7" s="7" t="s">
        <v>64</v>
      </c>
      <c r="B7">
        <v>107.4092361</v>
      </c>
      <c r="C7">
        <v>109.23370999999999</v>
      </c>
      <c r="D7">
        <v>111.20303854000002</v>
      </c>
      <c r="E7">
        <v>113.31722171999998</v>
      </c>
      <c r="F7">
        <v>115.57625954000001</v>
      </c>
      <c r="G7">
        <v>117.98015200000003</v>
      </c>
      <c r="H7">
        <v>120.52889909999999</v>
      </c>
      <c r="I7">
        <v>123.22250084000004</v>
      </c>
      <c r="J7">
        <v>126.06095721999992</v>
      </c>
      <c r="K7">
        <v>129.04426824000004</v>
      </c>
      <c r="L7">
        <v>132.17243390000002</v>
      </c>
      <c r="M7">
        <v>135.44545420000003</v>
      </c>
      <c r="N7">
        <v>138.86332914000005</v>
      </c>
      <c r="O7">
        <v>142.42605871999996</v>
      </c>
      <c r="P7">
        <v>146.13364293999996</v>
      </c>
      <c r="Q7">
        <v>149.98608180000005</v>
      </c>
      <c r="R7">
        <v>153.98337530000006</v>
      </c>
      <c r="S7">
        <v>158.12552343999999</v>
      </c>
      <c r="T7">
        <v>162.41252621999979</v>
      </c>
      <c r="U7">
        <v>166.84438363999996</v>
      </c>
      <c r="V7">
        <v>171.42109570000011</v>
      </c>
      <c r="W7">
        <v>176.14266240000006</v>
      </c>
      <c r="X7">
        <v>181.00908373999997</v>
      </c>
    </row>
    <row r="8" spans="1:50" x14ac:dyDescent="0.45">
      <c r="A8" s="7" t="s">
        <v>65</v>
      </c>
      <c r="B8">
        <v>105.99676296000005</v>
      </c>
      <c r="C8">
        <v>107.55467146000002</v>
      </c>
      <c r="D8">
        <v>109.25124004000006</v>
      </c>
      <c r="E8">
        <v>111.0864687</v>
      </c>
      <c r="F8">
        <v>113.06035744000005</v>
      </c>
      <c r="G8">
        <v>115.17290626000005</v>
      </c>
      <c r="H8">
        <v>117.42411516000008</v>
      </c>
      <c r="I8">
        <v>119.81398414000006</v>
      </c>
      <c r="J8">
        <v>122.3425132</v>
      </c>
      <c r="K8">
        <v>125.00970234000008</v>
      </c>
      <c r="L8">
        <v>127.81555156000005</v>
      </c>
      <c r="M8">
        <v>130.76006086000018</v>
      </c>
      <c r="N8">
        <v>133.84323024000003</v>
      </c>
      <c r="O8">
        <v>137.06505970000009</v>
      </c>
      <c r="P8">
        <v>140.42554924000012</v>
      </c>
      <c r="Q8">
        <v>143.92469886000003</v>
      </c>
      <c r="R8">
        <v>147.56250856000008</v>
      </c>
      <c r="S8">
        <v>151.33897834000004</v>
      </c>
      <c r="T8">
        <v>155.25410820000005</v>
      </c>
      <c r="U8">
        <v>159.30789814000011</v>
      </c>
      <c r="V8">
        <v>163.50034816000013</v>
      </c>
      <c r="W8">
        <v>167.8314582600002</v>
      </c>
      <c r="X8">
        <v>172.30122843999999</v>
      </c>
      <c r="Y8">
        <v>176.90965869999994</v>
      </c>
      <c r="Z8">
        <v>181.65674904000019</v>
      </c>
    </row>
    <row r="9" spans="1:50" x14ac:dyDescent="0.45">
      <c r="A9" s="7" t="s">
        <v>66</v>
      </c>
      <c r="B9">
        <v>104.56865214000004</v>
      </c>
      <c r="C9">
        <v>105.87933668000004</v>
      </c>
      <c r="D9">
        <v>107.32235938000005</v>
      </c>
      <c r="E9">
        <v>108.89772023999998</v>
      </c>
      <c r="F9">
        <v>110.60541926000005</v>
      </c>
      <c r="G9">
        <v>112.44545644000003</v>
      </c>
      <c r="H9">
        <v>114.41783178000007</v>
      </c>
      <c r="I9">
        <v>116.52254528000006</v>
      </c>
      <c r="J9">
        <v>118.75959693999998</v>
      </c>
      <c r="K9">
        <v>121.12898676000009</v>
      </c>
      <c r="L9">
        <v>123.63071473999997</v>
      </c>
      <c r="M9">
        <v>126.26478088000012</v>
      </c>
      <c r="N9">
        <v>129.03118518000011</v>
      </c>
      <c r="O9">
        <v>131.9299276400001</v>
      </c>
      <c r="P9">
        <v>134.96100826000009</v>
      </c>
      <c r="Q9">
        <v>138.12442704</v>
      </c>
      <c r="R9">
        <v>141.42018398000013</v>
      </c>
      <c r="S9">
        <v>144.84827908000011</v>
      </c>
      <c r="T9">
        <v>148.40871233999994</v>
      </c>
      <c r="U9">
        <v>152.10148376000012</v>
      </c>
      <c r="V9">
        <v>155.92659334000007</v>
      </c>
      <c r="W9">
        <v>159.88404108000017</v>
      </c>
      <c r="X9">
        <v>163.97382697999996</v>
      </c>
      <c r="Y9">
        <v>168.19595103999995</v>
      </c>
      <c r="Z9">
        <v>172.55041326000014</v>
      </c>
      <c r="AA9">
        <v>177.03721364000012</v>
      </c>
      <c r="AB9">
        <v>181.65635217999997</v>
      </c>
    </row>
    <row r="10" spans="1:50" x14ac:dyDescent="0.45">
      <c r="A10" s="7" t="s">
        <v>67</v>
      </c>
      <c r="B10">
        <v>103.12490364000004</v>
      </c>
      <c r="C10">
        <v>104.20770566000004</v>
      </c>
      <c r="D10">
        <v>105.41639656000004</v>
      </c>
      <c r="E10">
        <v>106.75097634000005</v>
      </c>
      <c r="F10">
        <v>108.21144500000005</v>
      </c>
      <c r="G10">
        <v>109.79780254000001</v>
      </c>
      <c r="H10">
        <v>111.51004896000011</v>
      </c>
      <c r="I10">
        <v>113.34818426000002</v>
      </c>
      <c r="J10">
        <v>115.31220844000005</v>
      </c>
      <c r="K10">
        <v>117.40212150000009</v>
      </c>
      <c r="L10">
        <v>119.6179234400001</v>
      </c>
      <c r="M10">
        <v>121.95961426000011</v>
      </c>
      <c r="N10">
        <v>124.42719396000008</v>
      </c>
      <c r="O10">
        <v>127.0206625400001</v>
      </c>
      <c r="P10">
        <v>129.7400200000001</v>
      </c>
      <c r="Q10">
        <v>132.58526634000006</v>
      </c>
      <c r="R10">
        <v>135.5564015600001</v>
      </c>
      <c r="S10">
        <v>138.65342566000007</v>
      </c>
      <c r="T10">
        <v>141.87633864000003</v>
      </c>
      <c r="U10">
        <v>145.22514050000009</v>
      </c>
      <c r="V10">
        <v>148.69983124000032</v>
      </c>
      <c r="W10">
        <v>152.30041086000023</v>
      </c>
      <c r="X10">
        <v>156.02687936000009</v>
      </c>
      <c r="Y10">
        <v>159.87923674000001</v>
      </c>
      <c r="Z10">
        <v>163.85748300000034</v>
      </c>
      <c r="AA10">
        <v>167.96161814000027</v>
      </c>
      <c r="AB10">
        <v>172.19164216000019</v>
      </c>
      <c r="AC10">
        <v>176.54755506000009</v>
      </c>
      <c r="AD10">
        <v>181.02935684000025</v>
      </c>
    </row>
    <row r="11" spans="1:50" x14ac:dyDescent="0.45">
      <c r="A11" s="7" t="s">
        <v>68</v>
      </c>
      <c r="B11">
        <v>100.89377382685876</v>
      </c>
      <c r="C11">
        <v>101.93953335200126</v>
      </c>
      <c r="D11">
        <v>103.10460511714382</v>
      </c>
      <c r="E11">
        <v>104.38898912228635</v>
      </c>
      <c r="F11">
        <v>105.79268536742877</v>
      </c>
      <c r="G11">
        <v>107.22994456000005</v>
      </c>
      <c r="H11">
        <v>108.70076670000009</v>
      </c>
      <c r="I11">
        <v>110.29090108000007</v>
      </c>
      <c r="J11">
        <v>112.00034770000015</v>
      </c>
      <c r="K11">
        <v>113.8291065600001</v>
      </c>
      <c r="L11">
        <v>115.77717766000006</v>
      </c>
      <c r="M11">
        <v>117.84456100000013</v>
      </c>
      <c r="N11">
        <v>120.03125657999996</v>
      </c>
      <c r="O11">
        <v>122.33726440000015</v>
      </c>
      <c r="P11">
        <v>124.7625844600001</v>
      </c>
      <c r="Q11">
        <v>127.30721676000003</v>
      </c>
      <c r="R11">
        <v>129.97116130000006</v>
      </c>
      <c r="S11">
        <v>132.75441808000005</v>
      </c>
      <c r="T11">
        <v>135.65698710000024</v>
      </c>
      <c r="U11">
        <v>138.67886836000014</v>
      </c>
      <c r="V11">
        <v>141.82006186000021</v>
      </c>
      <c r="W11">
        <v>145.08056760000011</v>
      </c>
      <c r="X11">
        <v>148.46038558000006</v>
      </c>
      <c r="Y11">
        <v>151.9595158000001</v>
      </c>
      <c r="Z11">
        <v>155.57795826000029</v>
      </c>
      <c r="AA11">
        <v>159.31571296000021</v>
      </c>
      <c r="AB11">
        <v>163.17277990000005</v>
      </c>
      <c r="AC11">
        <v>167.14915908000006</v>
      </c>
      <c r="AD11">
        <v>171.24485050000033</v>
      </c>
      <c r="AE11">
        <v>175.45985416000033</v>
      </c>
      <c r="AF11">
        <v>179.79417006000017</v>
      </c>
    </row>
    <row r="12" spans="1:50" x14ac:dyDescent="0.45">
      <c r="A12" s="7" t="s">
        <v>69</v>
      </c>
      <c r="B12">
        <v>99.099083287336526</v>
      </c>
      <c r="C12">
        <v>100.02668021237287</v>
      </c>
      <c r="D12">
        <v>101.06688537740924</v>
      </c>
      <c r="E12">
        <v>102.21969878244558</v>
      </c>
      <c r="F12">
        <v>103.48512042748183</v>
      </c>
      <c r="G12">
        <v>104.74188250000006</v>
      </c>
      <c r="H12">
        <v>105.98998500000005</v>
      </c>
      <c r="I12">
        <v>107.35069574000005</v>
      </c>
      <c r="J12">
        <v>108.82401472000005</v>
      </c>
      <c r="K12">
        <v>110.40994194000008</v>
      </c>
      <c r="L12">
        <v>112.10847740000006</v>
      </c>
      <c r="M12">
        <v>113.91962110000006</v>
      </c>
      <c r="N12">
        <v>115.84337304000007</v>
      </c>
      <c r="O12">
        <v>117.87973322000018</v>
      </c>
      <c r="P12">
        <v>120.02870164000002</v>
      </c>
      <c r="Q12">
        <v>122.29027830000004</v>
      </c>
      <c r="R12">
        <v>124.66446320000007</v>
      </c>
      <c r="S12">
        <v>127.15125634</v>
      </c>
      <c r="T12">
        <v>129.75065772000011</v>
      </c>
      <c r="U12">
        <v>132.46266734000011</v>
      </c>
      <c r="V12">
        <v>135.2872852000003</v>
      </c>
      <c r="W12">
        <v>138.22451130000019</v>
      </c>
      <c r="X12">
        <v>141.27434564000018</v>
      </c>
      <c r="Y12">
        <v>144.4367882200001</v>
      </c>
      <c r="Z12">
        <v>147.71183904000031</v>
      </c>
      <c r="AA12">
        <v>151.0994981000002</v>
      </c>
      <c r="AB12">
        <v>154.59976540000019</v>
      </c>
      <c r="AC12">
        <v>158.2126409400002</v>
      </c>
      <c r="AD12">
        <v>161.9381247200003</v>
      </c>
      <c r="AE12">
        <v>165.77621674000039</v>
      </c>
      <c r="AF12">
        <v>169.72691700000024</v>
      </c>
      <c r="AG12">
        <v>173.79022550000008</v>
      </c>
      <c r="AH12">
        <v>177.96614224000004</v>
      </c>
      <c r="AI12">
        <v>182.25466722000021</v>
      </c>
    </row>
    <row r="13" spans="1:50" x14ac:dyDescent="0.45">
      <c r="A13" s="7" t="s">
        <v>70</v>
      </c>
      <c r="B13">
        <v>97.363132876981538</v>
      </c>
      <c r="C13">
        <v>98.175380239874542</v>
      </c>
      <c r="D13">
        <v>99.093404482767554</v>
      </c>
      <c r="E13">
        <v>100.11720560566056</v>
      </c>
      <c r="F13">
        <v>101.24678360855359</v>
      </c>
      <c r="G13">
        <v>102.33361636000009</v>
      </c>
      <c r="H13">
        <v>103.37770386000007</v>
      </c>
      <c r="I13">
        <v>104.52756824000014</v>
      </c>
      <c r="J13">
        <v>105.78320950000013</v>
      </c>
      <c r="K13">
        <v>107.14462764000017</v>
      </c>
      <c r="L13">
        <v>108.61182266000014</v>
      </c>
      <c r="M13">
        <v>110.18479456000019</v>
      </c>
      <c r="N13">
        <v>111.86354334000006</v>
      </c>
      <c r="O13">
        <v>113.64806900000018</v>
      </c>
      <c r="P13">
        <v>115.53837154000014</v>
      </c>
      <c r="Q13">
        <v>117.53445096000016</v>
      </c>
      <c r="R13">
        <v>119.63630726000015</v>
      </c>
      <c r="S13">
        <v>121.84394044000001</v>
      </c>
      <c r="T13">
        <v>124.15735050000013</v>
      </c>
      <c r="U13">
        <v>126.57653744000021</v>
      </c>
      <c r="V13">
        <v>129.10150126000033</v>
      </c>
      <c r="W13">
        <v>131.73224196000029</v>
      </c>
      <c r="X13">
        <v>134.46875954000029</v>
      </c>
      <c r="Y13">
        <v>137.31105400000013</v>
      </c>
      <c r="Z13">
        <v>140.25912534000037</v>
      </c>
      <c r="AA13">
        <v>143.3129735600003</v>
      </c>
      <c r="AB13">
        <v>146.47259866000024</v>
      </c>
      <c r="AC13">
        <v>149.73800064000028</v>
      </c>
      <c r="AD13">
        <v>153.10917950000032</v>
      </c>
      <c r="AE13">
        <v>156.58613524000043</v>
      </c>
      <c r="AF13">
        <v>160.16886786000032</v>
      </c>
      <c r="AG13">
        <v>163.85737736000027</v>
      </c>
      <c r="AH13">
        <v>167.65166374000032</v>
      </c>
      <c r="AI13">
        <v>171.55172700000043</v>
      </c>
      <c r="AJ13">
        <v>175.55756714000034</v>
      </c>
      <c r="AK13">
        <v>179.66918416000016</v>
      </c>
    </row>
    <row r="14" spans="1:50" x14ac:dyDescent="0.45">
      <c r="A14" s="7" t="s">
        <v>71</v>
      </c>
      <c r="B14">
        <v>95.650045573717449</v>
      </c>
      <c r="C14">
        <v>96.357729084002443</v>
      </c>
      <c r="D14">
        <v>97.164230754287502</v>
      </c>
      <c r="E14">
        <v>98.069550584572482</v>
      </c>
      <c r="F14">
        <v>99.073688574857499</v>
      </c>
      <c r="G14">
        <v>100.00514614000001</v>
      </c>
      <c r="H14">
        <v>100.86392328000001</v>
      </c>
      <c r="I14">
        <v>101.82151858000006</v>
      </c>
      <c r="J14">
        <v>102.87793204000002</v>
      </c>
      <c r="K14">
        <v>104.03316366000004</v>
      </c>
      <c r="L14">
        <v>105.28721343999993</v>
      </c>
      <c r="M14">
        <v>106.64008138000007</v>
      </c>
      <c r="N14">
        <v>108.09176748000002</v>
      </c>
      <c r="O14">
        <v>109.6422717400001</v>
      </c>
      <c r="P14">
        <v>111.29159416</v>
      </c>
      <c r="Q14">
        <v>113.03973473999993</v>
      </c>
      <c r="R14">
        <v>114.88669348000009</v>
      </c>
      <c r="S14">
        <v>116.83247037999998</v>
      </c>
      <c r="T14">
        <v>118.87706544000005</v>
      </c>
      <c r="U14">
        <v>121.02047866000007</v>
      </c>
      <c r="V14">
        <v>123.26271003999992</v>
      </c>
      <c r="W14">
        <v>125.60375957999992</v>
      </c>
      <c r="X14">
        <v>128.04362727999978</v>
      </c>
      <c r="Y14">
        <v>130.58231314000005</v>
      </c>
      <c r="Z14">
        <v>133.21981715999999</v>
      </c>
      <c r="AA14">
        <v>135.95613933999994</v>
      </c>
      <c r="AB14">
        <v>138.7912796799998</v>
      </c>
      <c r="AC14">
        <v>141.72523817999979</v>
      </c>
      <c r="AD14">
        <v>144.75801484000004</v>
      </c>
      <c r="AE14">
        <v>147.88960966000005</v>
      </c>
      <c r="AF14">
        <v>151.12002263999989</v>
      </c>
      <c r="AG14">
        <v>154.44925377999982</v>
      </c>
      <c r="AH14">
        <v>157.87730307999982</v>
      </c>
      <c r="AI14">
        <v>161.40417054000005</v>
      </c>
      <c r="AJ14">
        <v>165.02985615999995</v>
      </c>
      <c r="AK14">
        <v>168.75435993999974</v>
      </c>
      <c r="AL14">
        <v>172.57768187999972</v>
      </c>
      <c r="AM14">
        <v>176.49982197999989</v>
      </c>
      <c r="AN14">
        <v>180.52078024000011</v>
      </c>
    </row>
    <row r="15" spans="1:50" x14ac:dyDescent="0.45">
      <c r="A15" s="7" t="s">
        <v>72</v>
      </c>
      <c r="B15">
        <v>93.94592471509344</v>
      </c>
      <c r="C15">
        <v>94.562918229517123</v>
      </c>
      <c r="D15">
        <v>95.271643823940821</v>
      </c>
      <c r="E15">
        <v>96.072101498364461</v>
      </c>
      <c r="F15">
        <v>96.964291252788215</v>
      </c>
      <c r="G15">
        <v>97.756471840000003</v>
      </c>
      <c r="H15">
        <v>98.448643260000026</v>
      </c>
      <c r="I15">
        <v>99.23254676000002</v>
      </c>
      <c r="J15">
        <v>100.10818234000001</v>
      </c>
      <c r="K15">
        <v>101.07555000000004</v>
      </c>
      <c r="L15">
        <v>102.13464973999997</v>
      </c>
      <c r="M15">
        <v>103.28548156000006</v>
      </c>
      <c r="N15">
        <v>104.52804546</v>
      </c>
      <c r="O15">
        <v>105.86234143999999</v>
      </c>
      <c r="P15">
        <v>107.2883695000001</v>
      </c>
      <c r="Q15">
        <v>108.80612963999999</v>
      </c>
      <c r="R15">
        <v>110.41562186000007</v>
      </c>
      <c r="S15">
        <v>112.11684616000002</v>
      </c>
      <c r="T15">
        <v>113.90980254000002</v>
      </c>
      <c r="U15">
        <v>115.79449100000008</v>
      </c>
      <c r="V15">
        <v>117.77091154000003</v>
      </c>
      <c r="W15">
        <v>119.83906416000004</v>
      </c>
      <c r="X15">
        <v>121.99894885999998</v>
      </c>
      <c r="Y15">
        <v>124.25056564000012</v>
      </c>
      <c r="Z15">
        <v>126.59391450000005</v>
      </c>
      <c r="AA15">
        <v>129.02899543999996</v>
      </c>
      <c r="AB15">
        <v>131.55580845999992</v>
      </c>
      <c r="AC15">
        <v>134.17435355999993</v>
      </c>
      <c r="AD15">
        <v>136.88463074000001</v>
      </c>
      <c r="AE15">
        <v>139.68664000000015</v>
      </c>
      <c r="AF15">
        <v>142.58038134</v>
      </c>
      <c r="AG15">
        <v>145.56585475999992</v>
      </c>
      <c r="AH15">
        <v>148.64306025999991</v>
      </c>
      <c r="AI15">
        <v>151.81199784</v>
      </c>
      <c r="AJ15">
        <v>155.07266750000011</v>
      </c>
      <c r="AK15">
        <v>158.42506924000006</v>
      </c>
      <c r="AL15">
        <v>161.86920306000005</v>
      </c>
      <c r="AM15">
        <v>165.40506895999994</v>
      </c>
      <c r="AN15">
        <v>169.03266694000004</v>
      </c>
      <c r="AO15">
        <v>172.75199700000013</v>
      </c>
      <c r="AP15">
        <v>176.56305914000006</v>
      </c>
      <c r="AQ15">
        <v>180.46585335999998</v>
      </c>
    </row>
    <row r="16" spans="1:50" x14ac:dyDescent="0.45">
      <c r="A16" s="7" t="s">
        <v>73</v>
      </c>
      <c r="B16">
        <v>92.243643246562215</v>
      </c>
      <c r="C16">
        <v>92.785404411770628</v>
      </c>
      <c r="D16">
        <v>93.411684216979026</v>
      </c>
      <c r="E16">
        <v>94.122482662187466</v>
      </c>
      <c r="F16">
        <v>94.917799747395819</v>
      </c>
      <c r="G16">
        <v>95.587593459999979</v>
      </c>
      <c r="H16">
        <v>96.131863800000076</v>
      </c>
      <c r="I16">
        <v>96.760652780000058</v>
      </c>
      <c r="J16">
        <v>97.473960400000095</v>
      </c>
      <c r="K16">
        <v>98.271786660000046</v>
      </c>
      <c r="L16">
        <v>99.154131559999996</v>
      </c>
      <c r="M16">
        <v>100.12099510000012</v>
      </c>
      <c r="N16">
        <v>101.17237727999999</v>
      </c>
      <c r="O16">
        <v>102.30827810000007</v>
      </c>
      <c r="P16">
        <v>103.52869756000013</v>
      </c>
      <c r="Q16">
        <v>104.83363565999996</v>
      </c>
      <c r="R16">
        <v>106.22309240000013</v>
      </c>
      <c r="S16">
        <v>107.69706778000003</v>
      </c>
      <c r="T16">
        <v>109.25556180000024</v>
      </c>
      <c r="U16">
        <v>110.89857446000008</v>
      </c>
      <c r="V16">
        <v>112.62610576000006</v>
      </c>
      <c r="W16">
        <v>114.43815570000005</v>
      </c>
      <c r="X16">
        <v>116.33472428000002</v>
      </c>
      <c r="Y16">
        <v>118.31581150000028</v>
      </c>
      <c r="Z16">
        <v>120.38141736000013</v>
      </c>
      <c r="AA16">
        <v>122.53154186000006</v>
      </c>
      <c r="AB16">
        <v>124.76618499999991</v>
      </c>
      <c r="AC16">
        <v>127.08534678000007</v>
      </c>
      <c r="AD16">
        <v>129.48902720000029</v>
      </c>
      <c r="AE16">
        <v>131.97722626000018</v>
      </c>
      <c r="AF16">
        <v>134.54994396000006</v>
      </c>
      <c r="AG16">
        <v>137.20718029999998</v>
      </c>
      <c r="AH16">
        <v>139.94893528000006</v>
      </c>
      <c r="AI16">
        <v>142.77520890000039</v>
      </c>
      <c r="AJ16">
        <v>145.68600116000022</v>
      </c>
      <c r="AK16">
        <v>148.6813120600001</v>
      </c>
      <c r="AL16">
        <v>151.76114160000003</v>
      </c>
      <c r="AM16">
        <v>154.92548978000002</v>
      </c>
      <c r="AN16">
        <v>158.17435660000024</v>
      </c>
      <c r="AO16">
        <v>161.50774206000025</v>
      </c>
      <c r="AP16">
        <v>164.92564616000004</v>
      </c>
      <c r="AQ16">
        <v>168.42806890000014</v>
      </c>
      <c r="AR16">
        <v>172.01501028000015</v>
      </c>
      <c r="AS16">
        <v>175.68647030000005</v>
      </c>
      <c r="AT16">
        <v>179.44244895999969</v>
      </c>
      <c r="AU16">
        <v>183.28294625999982</v>
      </c>
    </row>
    <row r="17" spans="1:50" x14ac:dyDescent="0.45">
      <c r="A17" s="7" t="s">
        <v>74</v>
      </c>
      <c r="B17">
        <v>90.538967370810695</v>
      </c>
      <c r="C17">
        <v>91.021894677297212</v>
      </c>
      <c r="D17">
        <v>91.581999823783718</v>
      </c>
      <c r="E17">
        <v>92.219282810270258</v>
      </c>
      <c r="F17">
        <v>92.933743636756731</v>
      </c>
      <c r="G17">
        <v>93.498510999999993</v>
      </c>
      <c r="H17">
        <v>93.91358490000006</v>
      </c>
      <c r="I17">
        <v>94.405836640000047</v>
      </c>
      <c r="J17">
        <v>94.975266220000051</v>
      </c>
      <c r="K17">
        <v>95.621873640000018</v>
      </c>
      <c r="L17">
        <v>96.345658900000018</v>
      </c>
      <c r="M17">
        <v>97.146622000000121</v>
      </c>
      <c r="N17">
        <v>98.024762940000031</v>
      </c>
      <c r="O17">
        <v>98.980081720000044</v>
      </c>
      <c r="P17">
        <v>100.01257834000003</v>
      </c>
      <c r="Q17">
        <v>101.12225280000003</v>
      </c>
      <c r="R17">
        <v>102.3091051000001</v>
      </c>
      <c r="S17">
        <v>103.57313523999998</v>
      </c>
      <c r="T17">
        <v>104.91434322000015</v>
      </c>
      <c r="U17">
        <v>106.33272904000012</v>
      </c>
      <c r="V17">
        <v>107.82829269999989</v>
      </c>
      <c r="W17">
        <v>109.40103420000008</v>
      </c>
      <c r="X17">
        <v>111.05095354000011</v>
      </c>
      <c r="Y17">
        <v>112.77805072000018</v>
      </c>
      <c r="Z17">
        <v>114.5823257400001</v>
      </c>
      <c r="AA17">
        <v>116.46377859999994</v>
      </c>
      <c r="AB17">
        <v>118.42240929999986</v>
      </c>
      <c r="AC17">
        <v>120.45821784000006</v>
      </c>
      <c r="AD17">
        <v>122.57120422000011</v>
      </c>
      <c r="AE17">
        <v>124.76136844000006</v>
      </c>
      <c r="AF17">
        <v>127.02871049999997</v>
      </c>
      <c r="AG17">
        <v>129.37323039999995</v>
      </c>
      <c r="AH17">
        <v>131.79492814000008</v>
      </c>
      <c r="AI17">
        <v>134.29380372000006</v>
      </c>
      <c r="AJ17">
        <v>136.86985713999999</v>
      </c>
      <c r="AK17">
        <v>139.52308840000012</v>
      </c>
      <c r="AL17">
        <v>142.25349749999981</v>
      </c>
      <c r="AM17">
        <v>145.06108444</v>
      </c>
      <c r="AN17">
        <v>147.94584922000013</v>
      </c>
      <c r="AO17">
        <v>150.90779184000013</v>
      </c>
      <c r="AP17">
        <v>153.94691230000009</v>
      </c>
      <c r="AQ17">
        <v>157.06321059999999</v>
      </c>
      <c r="AR17">
        <v>160.25668674000002</v>
      </c>
      <c r="AS17">
        <v>163.52734071999996</v>
      </c>
      <c r="AT17">
        <v>166.87517254000002</v>
      </c>
      <c r="AU17">
        <v>170.30018219999999</v>
      </c>
      <c r="AV17">
        <v>173.80236969999999</v>
      </c>
      <c r="AW17">
        <v>177.38173504000011</v>
      </c>
      <c r="AX17">
        <v>181.03827822000014</v>
      </c>
    </row>
    <row r="18" spans="1:50" x14ac:dyDescent="0.45">
      <c r="A18" s="7" t="s">
        <v>75</v>
      </c>
      <c r="B18">
        <v>88.829138534673035</v>
      </c>
      <c r="C18">
        <v>89.270243484745706</v>
      </c>
      <c r="D18">
        <v>89.781058114818379</v>
      </c>
      <c r="E18">
        <v>90.36158242489104</v>
      </c>
      <c r="F18">
        <v>91.011816414963661</v>
      </c>
      <c r="G18">
        <v>91.489224460000045</v>
      </c>
      <c r="H18">
        <v>91.79380656000005</v>
      </c>
      <c r="I18">
        <v>92.168098340000085</v>
      </c>
      <c r="J18">
        <v>92.612099800000067</v>
      </c>
      <c r="K18">
        <v>93.125810940000036</v>
      </c>
      <c r="L18">
        <v>93.709231760000065</v>
      </c>
      <c r="M18">
        <v>94.362362260000083</v>
      </c>
      <c r="N18">
        <v>95.085202440000032</v>
      </c>
      <c r="O18">
        <v>95.877752300000168</v>
      </c>
      <c r="P18">
        <v>96.740011840000022</v>
      </c>
      <c r="Q18">
        <v>97.671981060000036</v>
      </c>
      <c r="R18">
        <v>98.67365996000008</v>
      </c>
      <c r="S18">
        <v>99.745048539999985</v>
      </c>
      <c r="T18">
        <v>100.88614680000013</v>
      </c>
      <c r="U18">
        <v>102.09695474000011</v>
      </c>
      <c r="V18">
        <v>103.3774723600001</v>
      </c>
      <c r="W18">
        <v>104.72769966000007</v>
      </c>
      <c r="X18">
        <v>106.14763664000006</v>
      </c>
      <c r="Y18">
        <v>107.63728330000021</v>
      </c>
      <c r="Z18">
        <v>109.19663964000034</v>
      </c>
      <c r="AA18">
        <v>110.82570566000027</v>
      </c>
      <c r="AB18">
        <v>112.52448136000015</v>
      </c>
      <c r="AC18">
        <v>114.29296674000021</v>
      </c>
      <c r="AD18">
        <v>116.13116180000029</v>
      </c>
      <c r="AE18">
        <v>118.03906654000036</v>
      </c>
      <c r="AF18">
        <v>120.01668096000024</v>
      </c>
      <c r="AG18">
        <v>122.06400506000017</v>
      </c>
      <c r="AH18">
        <v>124.18103884000018</v>
      </c>
      <c r="AI18">
        <v>126.36778230000024</v>
      </c>
      <c r="AJ18">
        <v>128.6242354400004</v>
      </c>
      <c r="AK18">
        <v>130.95039826000021</v>
      </c>
      <c r="AL18">
        <v>133.34627076000021</v>
      </c>
      <c r="AM18">
        <v>135.81185294000022</v>
      </c>
      <c r="AN18">
        <v>138.34714480000031</v>
      </c>
      <c r="AO18">
        <v>140.95214634000052</v>
      </c>
      <c r="AP18">
        <v>143.62685756000027</v>
      </c>
      <c r="AQ18">
        <v>146.3712784600001</v>
      </c>
      <c r="AR18">
        <v>149.18540904000042</v>
      </c>
      <c r="AS18">
        <v>152.06924930000031</v>
      </c>
      <c r="AT18">
        <v>155.02279924000015</v>
      </c>
      <c r="AU18">
        <v>158.04605886000013</v>
      </c>
      <c r="AV18">
        <v>161.13902816000027</v>
      </c>
      <c r="AW18">
        <v>164.30170714000067</v>
      </c>
      <c r="AX18">
        <v>167.53409580000042</v>
      </c>
    </row>
    <row r="19" spans="1:50" x14ac:dyDescent="0.45">
      <c r="A19" s="7" t="s">
        <v>76</v>
      </c>
      <c r="B19">
        <v>87.244650914673059</v>
      </c>
      <c r="C19">
        <v>87.631946304745725</v>
      </c>
      <c r="D19">
        <v>88.081355854818369</v>
      </c>
      <c r="E19">
        <v>88.592879564891078</v>
      </c>
      <c r="F19">
        <v>89.166517434963737</v>
      </c>
      <c r="G19">
        <v>89.559733840000092</v>
      </c>
      <c r="H19">
        <v>89.772528780000044</v>
      </c>
      <c r="I19">
        <v>90.047437880000118</v>
      </c>
      <c r="J19">
        <v>90.384461140000099</v>
      </c>
      <c r="K19">
        <v>90.783598560000073</v>
      </c>
      <c r="L19">
        <v>91.244850140000082</v>
      </c>
      <c r="M19">
        <v>91.768215880000099</v>
      </c>
      <c r="N19">
        <v>92.353695780000038</v>
      </c>
      <c r="O19">
        <v>93.001289840000169</v>
      </c>
      <c r="P19">
        <v>93.710998060000136</v>
      </c>
      <c r="Q19">
        <v>94.48282044000004</v>
      </c>
      <c r="R19">
        <v>95.316756980000193</v>
      </c>
      <c r="S19">
        <v>96.212807680000154</v>
      </c>
      <c r="T19">
        <v>97.170972540000179</v>
      </c>
      <c r="U19">
        <v>98.191251560000083</v>
      </c>
      <c r="V19">
        <v>99.27364474000008</v>
      </c>
      <c r="W19">
        <v>100.41815208000023</v>
      </c>
      <c r="X19">
        <v>101.6247735800001</v>
      </c>
      <c r="Y19">
        <v>102.89350924000013</v>
      </c>
      <c r="Z19">
        <v>104.22435906000013</v>
      </c>
      <c r="AA19">
        <v>105.61732304000014</v>
      </c>
      <c r="AB19">
        <v>107.07240118000016</v>
      </c>
      <c r="AC19">
        <v>108.58959348000022</v>
      </c>
      <c r="AD19">
        <v>110.1688999400003</v>
      </c>
      <c r="AE19">
        <v>111.81032056000035</v>
      </c>
      <c r="AF19">
        <v>113.51385534000023</v>
      </c>
      <c r="AG19">
        <v>115.27950428000018</v>
      </c>
      <c r="AH19">
        <v>117.10726738000018</v>
      </c>
      <c r="AI19">
        <v>118.99714464000037</v>
      </c>
      <c r="AJ19">
        <v>120.94913606000027</v>
      </c>
      <c r="AK19">
        <v>122.96324164000018</v>
      </c>
      <c r="AL19">
        <v>125.0394613800002</v>
      </c>
      <c r="AM19">
        <v>127.17779528000013</v>
      </c>
      <c r="AN19">
        <v>129.37824334000049</v>
      </c>
      <c r="AO19">
        <v>131.64080556000039</v>
      </c>
      <c r="AP19">
        <v>133.9654819400003</v>
      </c>
      <c r="AQ19">
        <v>136.35227248000032</v>
      </c>
      <c r="AR19">
        <v>138.80117718000025</v>
      </c>
      <c r="AS19">
        <v>141.31219604000003</v>
      </c>
      <c r="AT19">
        <v>143.88532906000034</v>
      </c>
      <c r="AU19">
        <v>146.52057624000048</v>
      </c>
      <c r="AV19">
        <v>149.21793758000044</v>
      </c>
      <c r="AW19">
        <v>151.97741308000002</v>
      </c>
      <c r="AX19">
        <v>154.79900274000036</v>
      </c>
    </row>
    <row r="20" spans="1:50" x14ac:dyDescent="0.45">
      <c r="A20" s="7" t="s">
        <v>77</v>
      </c>
      <c r="B20">
        <v>85.785504510810696</v>
      </c>
      <c r="C20">
        <v>86.107003137297241</v>
      </c>
      <c r="D20">
        <v>86.482893043783747</v>
      </c>
      <c r="E20">
        <v>86.913174230270286</v>
      </c>
      <c r="F20">
        <v>87.397846696756787</v>
      </c>
      <c r="G20">
        <v>87.710039140000063</v>
      </c>
      <c r="H20">
        <v>87.849751560000016</v>
      </c>
      <c r="I20">
        <v>88.0438552600001</v>
      </c>
      <c r="J20">
        <v>88.292350240000104</v>
      </c>
      <c r="K20">
        <v>88.595236500000041</v>
      </c>
      <c r="L20">
        <v>88.952514040000068</v>
      </c>
      <c r="M20">
        <v>89.364182860000113</v>
      </c>
      <c r="N20">
        <v>89.830242960000049</v>
      </c>
      <c r="O20">
        <v>90.350694340000061</v>
      </c>
      <c r="P20">
        <v>90.925537000000062</v>
      </c>
      <c r="Q20">
        <v>91.554770940000054</v>
      </c>
      <c r="R20">
        <v>92.238396160000121</v>
      </c>
      <c r="S20">
        <v>92.976412660000108</v>
      </c>
      <c r="T20">
        <v>93.768820440000169</v>
      </c>
      <c r="U20">
        <v>94.615619500000051</v>
      </c>
      <c r="V20">
        <v>95.516809840000121</v>
      </c>
      <c r="W20">
        <v>96.472391460000296</v>
      </c>
      <c r="X20">
        <v>97.482364360000162</v>
      </c>
      <c r="Y20">
        <v>98.546728540000217</v>
      </c>
      <c r="Z20">
        <v>99.66548400000022</v>
      </c>
      <c r="AA20">
        <v>100.83863074000018</v>
      </c>
      <c r="AB20">
        <v>102.06616876000008</v>
      </c>
      <c r="AC20">
        <v>103.34809806000007</v>
      </c>
      <c r="AD20">
        <v>104.68441864000016</v>
      </c>
      <c r="AE20">
        <v>106.07513050000027</v>
      </c>
      <c r="AF20">
        <v>107.52023364000019</v>
      </c>
      <c r="AG20">
        <v>109.01972806000018</v>
      </c>
      <c r="AH20">
        <v>110.5736137600002</v>
      </c>
      <c r="AI20">
        <v>112.18189074000037</v>
      </c>
      <c r="AJ20">
        <v>113.84455900000022</v>
      </c>
      <c r="AK20">
        <v>115.56161854000021</v>
      </c>
      <c r="AL20">
        <v>117.33306936000011</v>
      </c>
      <c r="AM20">
        <v>119.1589114600001</v>
      </c>
      <c r="AN20">
        <v>121.03914484000023</v>
      </c>
      <c r="AO20">
        <v>122.97376950000033</v>
      </c>
      <c r="AP20">
        <v>124.96278544000022</v>
      </c>
      <c r="AQ20">
        <v>127.00619266000032</v>
      </c>
      <c r="AR20">
        <v>129.10399116000016</v>
      </c>
      <c r="AS20">
        <v>131.25618094000009</v>
      </c>
      <c r="AT20">
        <v>133.46276200000054</v>
      </c>
      <c r="AU20">
        <v>135.72373434000019</v>
      </c>
      <c r="AV20">
        <v>138.03909796000025</v>
      </c>
      <c r="AW20">
        <v>140.40885286000005</v>
      </c>
      <c r="AX20">
        <v>142.8329990400004</v>
      </c>
    </row>
    <row r="21" spans="1:50" x14ac:dyDescent="0.45">
      <c r="A21" s="7" t="s">
        <v>78</v>
      </c>
      <c r="B21">
        <v>84.321205146562221</v>
      </c>
      <c r="C21">
        <v>84.593918511770639</v>
      </c>
      <c r="D21">
        <v>84.913172916979065</v>
      </c>
      <c r="E21">
        <v>85.278968362187456</v>
      </c>
      <c r="F21">
        <v>85.691304847395898</v>
      </c>
      <c r="G21">
        <v>85.940140360000058</v>
      </c>
      <c r="H21">
        <v>86.025474900000063</v>
      </c>
      <c r="I21">
        <v>86.15735048000009</v>
      </c>
      <c r="J21">
        <v>86.335767100000069</v>
      </c>
      <c r="K21">
        <v>86.560724760000127</v>
      </c>
      <c r="L21">
        <v>86.832223460000094</v>
      </c>
      <c r="M21">
        <v>87.150263200000168</v>
      </c>
      <c r="N21">
        <v>87.514843980000094</v>
      </c>
      <c r="O21">
        <v>87.925965800000114</v>
      </c>
      <c r="P21">
        <v>88.383628660000113</v>
      </c>
      <c r="Q21">
        <v>88.887832560000049</v>
      </c>
      <c r="R21">
        <v>89.438577500000179</v>
      </c>
      <c r="S21">
        <v>90.035863480000131</v>
      </c>
      <c r="T21">
        <v>90.67969050000012</v>
      </c>
      <c r="U21">
        <v>91.370058560000189</v>
      </c>
      <c r="V21">
        <v>92.10696766000008</v>
      </c>
      <c r="W21">
        <v>92.890417800000208</v>
      </c>
      <c r="X21">
        <v>93.720408980000215</v>
      </c>
      <c r="Y21">
        <v>94.59694120000006</v>
      </c>
      <c r="Z21">
        <v>95.520014460000255</v>
      </c>
      <c r="AA21">
        <v>96.489628760000045</v>
      </c>
      <c r="AB21">
        <v>97.505784100000113</v>
      </c>
      <c r="AC21">
        <v>98.568480480000048</v>
      </c>
      <c r="AD21">
        <v>99.67771790000009</v>
      </c>
      <c r="AE21">
        <v>100.83349636000024</v>
      </c>
      <c r="AF21">
        <v>102.0358158600001</v>
      </c>
      <c r="AG21">
        <v>103.28467640000001</v>
      </c>
      <c r="AH21">
        <v>104.58007798000007</v>
      </c>
      <c r="AI21">
        <v>105.92202060000025</v>
      </c>
      <c r="AJ21">
        <v>107.31050426000013</v>
      </c>
      <c r="AK21">
        <v>108.74552896000013</v>
      </c>
      <c r="AL21">
        <v>110.22709470000005</v>
      </c>
      <c r="AM21">
        <v>111.75520147999997</v>
      </c>
      <c r="AN21">
        <v>113.32984930000028</v>
      </c>
      <c r="AO21">
        <v>114.95103816000024</v>
      </c>
      <c r="AP21">
        <v>116.61876806000024</v>
      </c>
      <c r="AQ21">
        <v>118.33303900000013</v>
      </c>
      <c r="AR21">
        <v>120.09385098000011</v>
      </c>
      <c r="AS21">
        <v>121.90120399999998</v>
      </c>
      <c r="AT21">
        <v>123.75509806000042</v>
      </c>
      <c r="AU21">
        <v>125.65553316000049</v>
      </c>
      <c r="AV21">
        <v>127.60250930000035</v>
      </c>
      <c r="AW21">
        <v>129.59602647999995</v>
      </c>
      <c r="AX21">
        <v>131.63608470000011</v>
      </c>
    </row>
    <row r="22" spans="1:50" x14ac:dyDescent="0.45">
      <c r="A22" s="7" t="s">
        <v>79</v>
      </c>
      <c r="B22">
        <v>82.854511375093423</v>
      </c>
      <c r="C22">
        <v>83.094837969517116</v>
      </c>
      <c r="D22">
        <v>83.373728003940812</v>
      </c>
      <c r="E22">
        <v>83.691181478364527</v>
      </c>
      <c r="F22">
        <v>84.047198392788232</v>
      </c>
      <c r="G22">
        <v>84.250037500000019</v>
      </c>
      <c r="H22">
        <v>84.299698800000058</v>
      </c>
      <c r="I22">
        <v>84.38792354000006</v>
      </c>
      <c r="J22">
        <v>84.514711720000051</v>
      </c>
      <c r="K22">
        <v>84.680063340000089</v>
      </c>
      <c r="L22">
        <v>84.883978400000046</v>
      </c>
      <c r="M22">
        <v>85.126456900000136</v>
      </c>
      <c r="N22">
        <v>85.407498840000045</v>
      </c>
      <c r="O22">
        <v>85.727104220000072</v>
      </c>
      <c r="P22">
        <v>86.085273040000104</v>
      </c>
      <c r="Q22">
        <v>86.482005300000026</v>
      </c>
      <c r="R22">
        <v>86.917301000000123</v>
      </c>
      <c r="S22">
        <v>87.391160140000054</v>
      </c>
      <c r="T22">
        <v>87.903582720000074</v>
      </c>
      <c r="U22">
        <v>88.454568740000127</v>
      </c>
      <c r="V22">
        <v>89.044118200000057</v>
      </c>
      <c r="W22">
        <v>89.672231100000147</v>
      </c>
      <c r="X22">
        <v>90.338907440000099</v>
      </c>
      <c r="Y22">
        <v>91.044147220000042</v>
      </c>
      <c r="Z22">
        <v>91.787950440000131</v>
      </c>
      <c r="AA22">
        <v>92.570317100000125</v>
      </c>
      <c r="AB22">
        <v>93.391247199999967</v>
      </c>
      <c r="AC22">
        <v>94.250740739999969</v>
      </c>
      <c r="AD22">
        <v>95.148797720000147</v>
      </c>
      <c r="AE22">
        <v>96.085418140000257</v>
      </c>
      <c r="AF22">
        <v>97.060602000000088</v>
      </c>
      <c r="AG22">
        <v>98.074349299999994</v>
      </c>
      <c r="AH22">
        <v>99.126660040000033</v>
      </c>
      <c r="AI22">
        <v>100.2175342200003</v>
      </c>
      <c r="AJ22">
        <v>101.34697184000015</v>
      </c>
      <c r="AK22">
        <v>102.51497290000005</v>
      </c>
      <c r="AL22">
        <v>103.72153740000003</v>
      </c>
      <c r="AM22">
        <v>104.96666534000013</v>
      </c>
      <c r="AN22">
        <v>106.25035672000008</v>
      </c>
      <c r="AO22">
        <v>107.5726115400001</v>
      </c>
      <c r="AP22">
        <v>108.93342980000024</v>
      </c>
      <c r="AQ22">
        <v>110.33281150000029</v>
      </c>
      <c r="AR22">
        <v>111.77075664000013</v>
      </c>
      <c r="AS22">
        <v>113.24726521999986</v>
      </c>
      <c r="AT22">
        <v>114.76233724000039</v>
      </c>
      <c r="AU22">
        <v>116.31597270000051</v>
      </c>
      <c r="AV22">
        <v>117.90817160000017</v>
      </c>
      <c r="AW22">
        <v>119.53893393999996</v>
      </c>
      <c r="AX22">
        <v>121.20825972000009</v>
      </c>
    </row>
    <row r="23" spans="1:50" x14ac:dyDescent="0.45">
      <c r="A23" s="7" t="s">
        <v>80</v>
      </c>
      <c r="B23">
        <v>81.389656993717423</v>
      </c>
      <c r="C23">
        <v>81.61305446400246</v>
      </c>
      <c r="D23">
        <v>81.866910414287446</v>
      </c>
      <c r="E23">
        <v>82.151224844572468</v>
      </c>
      <c r="F23">
        <v>82.465997754857526</v>
      </c>
      <c r="G23">
        <v>82.639730559999933</v>
      </c>
      <c r="H23">
        <v>82.672423260000045</v>
      </c>
      <c r="I23">
        <v>82.735574440000008</v>
      </c>
      <c r="J23">
        <v>82.829184100000006</v>
      </c>
      <c r="K23">
        <v>82.953252240000026</v>
      </c>
      <c r="L23">
        <v>83.107778860000053</v>
      </c>
      <c r="M23">
        <v>83.292763960000016</v>
      </c>
      <c r="N23">
        <v>83.508207539999916</v>
      </c>
      <c r="O23">
        <v>83.754109600000021</v>
      </c>
      <c r="P23">
        <v>84.030470139999991</v>
      </c>
      <c r="Q23">
        <v>84.337289159999983</v>
      </c>
      <c r="R23">
        <v>84.674566660000082</v>
      </c>
      <c r="S23">
        <v>85.042302639999946</v>
      </c>
      <c r="T23">
        <v>85.440497099999888</v>
      </c>
      <c r="U23">
        <v>85.869150039999994</v>
      </c>
      <c r="V23">
        <v>86.328261459999993</v>
      </c>
      <c r="W23">
        <v>86.817831359999929</v>
      </c>
      <c r="X23">
        <v>87.337859739999971</v>
      </c>
      <c r="Y23">
        <v>87.888346599999863</v>
      </c>
      <c r="Z23">
        <v>88.46929194000009</v>
      </c>
      <c r="AA23">
        <v>89.080695759999927</v>
      </c>
      <c r="AB23">
        <v>89.722558059999898</v>
      </c>
      <c r="AC23">
        <v>90.39487883999999</v>
      </c>
      <c r="AD23">
        <v>91.097658099999975</v>
      </c>
      <c r="AE23">
        <v>91.830895840000068</v>
      </c>
      <c r="AF23">
        <v>92.594592060000025</v>
      </c>
      <c r="AG23">
        <v>93.388746759999918</v>
      </c>
      <c r="AH23">
        <v>94.21335993999989</v>
      </c>
      <c r="AI23">
        <v>95.068431599999784</v>
      </c>
      <c r="AJ23">
        <v>95.953961740000238</v>
      </c>
      <c r="AK23">
        <v>96.869950360000033</v>
      </c>
      <c r="AL23">
        <v>97.81639746000009</v>
      </c>
      <c r="AM23">
        <v>98.793303039999898</v>
      </c>
      <c r="AN23">
        <v>99.80066709999987</v>
      </c>
      <c r="AO23">
        <v>100.83848964000003</v>
      </c>
      <c r="AP23">
        <v>101.90677066000001</v>
      </c>
      <c r="AQ23">
        <v>103.02551016000001</v>
      </c>
      <c r="AR23">
        <v>104.19470813999995</v>
      </c>
      <c r="AS23">
        <v>105.3943645999998</v>
      </c>
      <c r="AT23">
        <v>106.62447954000004</v>
      </c>
      <c r="AU23">
        <v>107.88505296000008</v>
      </c>
      <c r="AV23">
        <v>109.17608485999992</v>
      </c>
      <c r="AW23">
        <v>110.49757524000005</v>
      </c>
      <c r="AX23">
        <v>111.84952409999984</v>
      </c>
    </row>
    <row r="24" spans="1:50" x14ac:dyDescent="0.45">
      <c r="A24" s="7" t="s">
        <v>81</v>
      </c>
      <c r="B24">
        <v>79.933769056981504</v>
      </c>
      <c r="C24">
        <v>80.154111259874526</v>
      </c>
      <c r="D24">
        <v>80.396679622767536</v>
      </c>
      <c r="E24">
        <v>80.661474145660506</v>
      </c>
      <c r="F24">
        <v>80.948494828553535</v>
      </c>
      <c r="G24">
        <v>81.109219539999984</v>
      </c>
      <c r="H24">
        <v>81.143648280000022</v>
      </c>
      <c r="I24">
        <v>81.200303180000034</v>
      </c>
      <c r="J24">
        <v>81.279184240000035</v>
      </c>
      <c r="K24">
        <v>81.380291459999995</v>
      </c>
      <c r="L24">
        <v>81.503624840000057</v>
      </c>
      <c r="M24">
        <v>81.649184380000008</v>
      </c>
      <c r="N24">
        <v>81.816970079999919</v>
      </c>
      <c r="O24">
        <v>82.00698194000006</v>
      </c>
      <c r="P24">
        <v>82.219219959999975</v>
      </c>
      <c r="Q24">
        <v>82.453684140000007</v>
      </c>
      <c r="R24">
        <v>82.710374480000027</v>
      </c>
      <c r="S24">
        <v>82.989290979999993</v>
      </c>
      <c r="T24">
        <v>83.290433640000032</v>
      </c>
      <c r="U24">
        <v>83.613802460000073</v>
      </c>
      <c r="V24">
        <v>83.959397440000089</v>
      </c>
      <c r="W24">
        <v>84.327218579999951</v>
      </c>
      <c r="X24">
        <v>84.717265880000127</v>
      </c>
      <c r="Y24">
        <v>85.129539340000093</v>
      </c>
      <c r="Z24">
        <v>85.56403896000009</v>
      </c>
      <c r="AA24">
        <v>86.020764740000004</v>
      </c>
      <c r="AB24">
        <v>86.499716679999892</v>
      </c>
      <c r="AC24">
        <v>87.000894780000181</v>
      </c>
      <c r="AD24">
        <v>87.524299040000102</v>
      </c>
      <c r="AE24">
        <v>88.069929460000154</v>
      </c>
      <c r="AF24">
        <v>88.637786040000037</v>
      </c>
      <c r="AG24">
        <v>89.227868779999994</v>
      </c>
      <c r="AH24">
        <v>89.840177679999996</v>
      </c>
      <c r="AI24">
        <v>90.474712739999944</v>
      </c>
      <c r="AJ24">
        <v>91.131473960000051</v>
      </c>
      <c r="AK24">
        <v>91.810461340000003</v>
      </c>
      <c r="AL24">
        <v>92.511674880000015</v>
      </c>
      <c r="AM24">
        <v>93.235114580000072</v>
      </c>
      <c r="AN24">
        <v>93.980780439999961</v>
      </c>
      <c r="AO24">
        <v>94.748672459999966</v>
      </c>
      <c r="AP24">
        <v>95.538790640000201</v>
      </c>
      <c r="AQ24">
        <v>96.411134979999986</v>
      </c>
      <c r="AR24">
        <v>97.365705480000045</v>
      </c>
      <c r="AS24">
        <v>98.342502139999937</v>
      </c>
      <c r="AT24">
        <v>99.341524959999887</v>
      </c>
      <c r="AU24">
        <v>100.3627739399999</v>
      </c>
      <c r="AV24">
        <v>101.40624908000007</v>
      </c>
      <c r="AW24">
        <v>102.47195038000007</v>
      </c>
      <c r="AX24">
        <v>103.55987783999981</v>
      </c>
    </row>
    <row r="25" spans="1:50" x14ac:dyDescent="0.45">
      <c r="A25" s="7" t="s">
        <v>82</v>
      </c>
      <c r="B25">
        <v>78.500744227336497</v>
      </c>
      <c r="C25">
        <v>78.728816872372875</v>
      </c>
      <c r="D25">
        <v>78.970755997409199</v>
      </c>
      <c r="E25">
        <v>79.2265616024455</v>
      </c>
      <c r="F25">
        <v>79.496233687481848</v>
      </c>
      <c r="G25">
        <v>79.658504439999987</v>
      </c>
      <c r="H25">
        <v>79.713373860000004</v>
      </c>
      <c r="I25">
        <v>79.78210976000004</v>
      </c>
      <c r="J25">
        <v>79.864712140000023</v>
      </c>
      <c r="K25">
        <v>79.961180999999996</v>
      </c>
      <c r="L25">
        <v>80.071516340000088</v>
      </c>
      <c r="M25">
        <v>80.19571815999997</v>
      </c>
      <c r="N25">
        <v>80.333786459999885</v>
      </c>
      <c r="O25">
        <v>80.485721240000046</v>
      </c>
      <c r="P25">
        <v>80.651522499999956</v>
      </c>
      <c r="Q25">
        <v>80.83119023999997</v>
      </c>
      <c r="R25">
        <v>81.024724460000016</v>
      </c>
      <c r="S25">
        <v>81.232125159999939</v>
      </c>
      <c r="T25">
        <v>81.453392339999994</v>
      </c>
      <c r="U25">
        <v>81.688526000000039</v>
      </c>
      <c r="V25">
        <v>81.937526140000031</v>
      </c>
      <c r="W25">
        <v>82.200392759999971</v>
      </c>
      <c r="X25">
        <v>82.477125860000086</v>
      </c>
      <c r="Y25">
        <v>82.767725439999964</v>
      </c>
      <c r="Z25">
        <v>83.072191500000017</v>
      </c>
      <c r="AA25">
        <v>83.390524039999917</v>
      </c>
      <c r="AB25">
        <v>83.722723059999907</v>
      </c>
      <c r="AC25">
        <v>84.068788560000087</v>
      </c>
      <c r="AD25">
        <v>84.42872054</v>
      </c>
      <c r="AE25">
        <v>84.802519000000117</v>
      </c>
      <c r="AF25">
        <v>85.190183940000082</v>
      </c>
      <c r="AG25">
        <v>85.591715359999881</v>
      </c>
      <c r="AH25">
        <v>86.007113259999954</v>
      </c>
      <c r="AI25">
        <v>86.436377639999861</v>
      </c>
      <c r="AJ25">
        <v>86.879508500000256</v>
      </c>
      <c r="AK25">
        <v>87.336505840000044</v>
      </c>
      <c r="AL25">
        <v>87.807369660000134</v>
      </c>
      <c r="AM25">
        <v>88.292099960000073</v>
      </c>
      <c r="AN25">
        <v>88.790696740000044</v>
      </c>
      <c r="AO25">
        <v>89.303160000000091</v>
      </c>
      <c r="AP25">
        <v>89.829489740000156</v>
      </c>
      <c r="AQ25">
        <v>90.469685960000078</v>
      </c>
      <c r="AR25">
        <v>91.223748660000297</v>
      </c>
      <c r="AS25">
        <v>91.991677839999923</v>
      </c>
      <c r="AT25">
        <v>92.773473500000193</v>
      </c>
      <c r="AU25">
        <v>93.569135639999871</v>
      </c>
      <c r="AV25">
        <v>94.378664260000278</v>
      </c>
      <c r="AW25">
        <v>95.202059359999893</v>
      </c>
      <c r="AX25">
        <v>96.039320939999897</v>
      </c>
    </row>
    <row r="26" spans="1:50" x14ac:dyDescent="0.45">
      <c r="A26" s="7" t="s">
        <v>83</v>
      </c>
      <c r="B26">
        <v>77.888000000000005</v>
      </c>
      <c r="C26">
        <v>77.981999999999999</v>
      </c>
      <c r="D26">
        <v>78.076000000000008</v>
      </c>
      <c r="E26">
        <v>78.17</v>
      </c>
      <c r="F26">
        <v>78.26400000000001</v>
      </c>
      <c r="G26">
        <v>78.358000000000004</v>
      </c>
      <c r="H26">
        <v>78.451999999999998</v>
      </c>
      <c r="I26">
        <v>78.546000000000006</v>
      </c>
      <c r="J26">
        <v>78.64</v>
      </c>
      <c r="K26">
        <v>78.734000000000009</v>
      </c>
      <c r="L26">
        <v>78.828000000000003</v>
      </c>
      <c r="M26">
        <v>78.921999999999997</v>
      </c>
      <c r="N26">
        <v>79.016000000000005</v>
      </c>
      <c r="O26">
        <v>79.11</v>
      </c>
      <c r="P26">
        <v>79.204000000000008</v>
      </c>
      <c r="Q26">
        <v>79.298000000000002</v>
      </c>
      <c r="R26">
        <v>79.391999999999996</v>
      </c>
      <c r="S26">
        <v>79.486000000000004</v>
      </c>
      <c r="T26">
        <v>79.58</v>
      </c>
      <c r="U26">
        <v>79.674000000000007</v>
      </c>
      <c r="V26">
        <v>79.768000000000001</v>
      </c>
      <c r="W26">
        <v>79.862000000000009</v>
      </c>
      <c r="X26">
        <v>79.956000000000003</v>
      </c>
      <c r="Y26">
        <v>80.802904900000101</v>
      </c>
      <c r="Z26">
        <v>80.993749560000111</v>
      </c>
      <c r="AA26">
        <v>81.189973660000035</v>
      </c>
      <c r="AB26">
        <v>81.3915772</v>
      </c>
      <c r="AC26">
        <v>81.598560180000163</v>
      </c>
      <c r="AD26">
        <v>81.810922600000112</v>
      </c>
      <c r="AE26">
        <v>82.028664460000158</v>
      </c>
      <c r="AF26">
        <v>82.251785760000061</v>
      </c>
      <c r="AG26">
        <v>82.480286500000062</v>
      </c>
      <c r="AH26">
        <v>82.714166680000034</v>
      </c>
      <c r="AI26">
        <v>82.95342629999989</v>
      </c>
      <c r="AJ26">
        <v>83.198065360000186</v>
      </c>
      <c r="AK26">
        <v>83.448083860000068</v>
      </c>
      <c r="AL26">
        <v>83.703481800000176</v>
      </c>
      <c r="AM26">
        <v>83.964259180000084</v>
      </c>
      <c r="AN26">
        <v>84.230415999999991</v>
      </c>
      <c r="AO26">
        <v>84.501952260000053</v>
      </c>
      <c r="AP26">
        <v>84.778867960000099</v>
      </c>
      <c r="AQ26">
        <v>85.20116310000013</v>
      </c>
      <c r="AR26">
        <v>85.76883768000026</v>
      </c>
      <c r="AS26">
        <v>86.341891699999877</v>
      </c>
      <c r="AT26">
        <v>86.920325160000161</v>
      </c>
      <c r="AU26">
        <v>87.504138060000088</v>
      </c>
      <c r="AV26">
        <v>88.093330400000227</v>
      </c>
      <c r="AW26">
        <v>88.687902180000108</v>
      </c>
      <c r="AX26">
        <v>89.287853399999989</v>
      </c>
    </row>
    <row r="27" spans="1:50" x14ac:dyDescent="0.45">
      <c r="A27" s="7" t="s">
        <v>84</v>
      </c>
      <c r="B27">
        <v>75.688000000000002</v>
      </c>
      <c r="C27">
        <v>75.781999999999996</v>
      </c>
      <c r="D27">
        <v>75.876000000000005</v>
      </c>
      <c r="E27">
        <v>75.97</v>
      </c>
      <c r="F27">
        <v>76.063999999999993</v>
      </c>
      <c r="G27">
        <v>76.158000000000001</v>
      </c>
      <c r="H27">
        <v>76.251999999999995</v>
      </c>
      <c r="I27">
        <v>76.346000000000004</v>
      </c>
      <c r="J27">
        <v>76.44</v>
      </c>
      <c r="K27">
        <v>76.534000000000006</v>
      </c>
      <c r="L27">
        <v>76.628</v>
      </c>
      <c r="M27">
        <v>76.721999999999994</v>
      </c>
      <c r="N27">
        <v>76.816000000000003</v>
      </c>
      <c r="O27">
        <v>76.91</v>
      </c>
      <c r="P27">
        <v>77.004000000000005</v>
      </c>
      <c r="Q27">
        <v>77.097999999999999</v>
      </c>
      <c r="R27">
        <v>77.191999999999993</v>
      </c>
      <c r="S27">
        <v>77.286000000000001</v>
      </c>
      <c r="T27">
        <v>77.38</v>
      </c>
      <c r="U27">
        <v>77.474000000000004</v>
      </c>
      <c r="V27">
        <v>77.567999999999998</v>
      </c>
      <c r="W27">
        <v>77.662000000000006</v>
      </c>
      <c r="X27">
        <v>77.756</v>
      </c>
      <c r="Y27">
        <v>77.849999999999994</v>
      </c>
      <c r="Z27">
        <v>77.944000000000003</v>
      </c>
      <c r="AA27">
        <v>78.037999999999997</v>
      </c>
      <c r="AB27">
        <v>78.132000000000005</v>
      </c>
      <c r="AC27">
        <v>78.225999999999999</v>
      </c>
      <c r="AD27">
        <v>78.319999999999993</v>
      </c>
      <c r="AE27">
        <v>78.414000000000001</v>
      </c>
      <c r="AF27">
        <v>78.507999999999996</v>
      </c>
      <c r="AG27">
        <v>78.602000000000004</v>
      </c>
      <c r="AH27">
        <v>78.695999999999998</v>
      </c>
      <c r="AI27">
        <v>78.790000000000006</v>
      </c>
      <c r="AJ27">
        <v>78.884</v>
      </c>
      <c r="AK27">
        <v>78.977999999999994</v>
      </c>
      <c r="AL27">
        <v>79.072000000000003</v>
      </c>
      <c r="AM27">
        <v>79.165999999999997</v>
      </c>
      <c r="AN27">
        <v>79.260000000000005</v>
      </c>
      <c r="AO27">
        <v>79.353999999999999</v>
      </c>
      <c r="AP27">
        <v>79.447999999999993</v>
      </c>
      <c r="AQ27">
        <v>79.542000000000002</v>
      </c>
      <c r="AR27">
        <v>79.635999999999996</v>
      </c>
      <c r="AS27">
        <v>79.73</v>
      </c>
      <c r="AT27">
        <v>79.823999999999998</v>
      </c>
      <c r="AU27">
        <v>79.918000000000006</v>
      </c>
      <c r="AV27">
        <v>80.012</v>
      </c>
      <c r="AW27">
        <v>80.105999999999995</v>
      </c>
      <c r="AX27">
        <v>80.2</v>
      </c>
    </row>
    <row r="28" spans="1:50" x14ac:dyDescent="0.45">
      <c r="A28" s="7" t="s">
        <v>85</v>
      </c>
      <c r="B28">
        <v>73.488</v>
      </c>
      <c r="C28">
        <v>73.581999999999994</v>
      </c>
      <c r="D28">
        <v>73.676000000000002</v>
      </c>
      <c r="E28">
        <v>73.77</v>
      </c>
      <c r="F28">
        <v>73.864000000000004</v>
      </c>
      <c r="G28">
        <v>73.957999999999998</v>
      </c>
      <c r="H28">
        <v>74.051999999999992</v>
      </c>
      <c r="I28">
        <v>74.146000000000001</v>
      </c>
      <c r="J28">
        <v>74.239999999999995</v>
      </c>
      <c r="K28">
        <v>74.334000000000003</v>
      </c>
      <c r="L28">
        <v>74.427999999999997</v>
      </c>
      <c r="M28">
        <v>74.521999999999991</v>
      </c>
      <c r="N28">
        <v>74.616</v>
      </c>
      <c r="O28">
        <v>74.709999999999994</v>
      </c>
      <c r="P28">
        <v>74.804000000000002</v>
      </c>
      <c r="Q28">
        <v>74.897999999999996</v>
      </c>
      <c r="R28">
        <v>74.99199999999999</v>
      </c>
      <c r="S28">
        <v>75.085999999999999</v>
      </c>
      <c r="T28">
        <v>75.179999999999993</v>
      </c>
      <c r="U28">
        <v>75.274000000000001</v>
      </c>
      <c r="V28">
        <v>75.367999999999995</v>
      </c>
      <c r="W28">
        <v>75.462000000000003</v>
      </c>
      <c r="X28">
        <v>75.555999999999997</v>
      </c>
      <c r="Y28">
        <v>75.649999999999991</v>
      </c>
      <c r="Z28">
        <v>75.744</v>
      </c>
      <c r="AA28">
        <v>75.837999999999994</v>
      </c>
      <c r="AB28">
        <v>75.932000000000002</v>
      </c>
      <c r="AC28">
        <v>76.025999999999996</v>
      </c>
      <c r="AD28">
        <v>76.11999999999999</v>
      </c>
      <c r="AE28">
        <v>76.213999999999999</v>
      </c>
      <c r="AF28">
        <v>76.307999999999993</v>
      </c>
      <c r="AG28">
        <v>76.402000000000001</v>
      </c>
      <c r="AH28">
        <v>76.495999999999995</v>
      </c>
      <c r="AI28">
        <v>76.59</v>
      </c>
      <c r="AJ28">
        <v>76.683999999999997</v>
      </c>
      <c r="AK28">
        <v>76.777999999999992</v>
      </c>
      <c r="AL28">
        <v>76.872</v>
      </c>
      <c r="AM28">
        <v>76.965999999999994</v>
      </c>
      <c r="AN28">
        <v>77.06</v>
      </c>
      <c r="AO28">
        <v>77.153999999999996</v>
      </c>
      <c r="AP28">
        <v>77.24799999999999</v>
      </c>
      <c r="AQ28">
        <v>77.341999999999999</v>
      </c>
      <c r="AR28">
        <v>77.435999999999993</v>
      </c>
      <c r="AS28">
        <v>77.53</v>
      </c>
      <c r="AT28">
        <v>77.623999999999995</v>
      </c>
      <c r="AU28">
        <v>77.718000000000004</v>
      </c>
      <c r="AV28">
        <v>77.811999999999998</v>
      </c>
      <c r="AW28">
        <v>77.905999999999992</v>
      </c>
      <c r="AX28">
        <v>78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24F0276-7942-47B9-972F-6B4D5ECAB06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Heat Index Table</vt:lpstr>
      <vt:lpstr>Test Cases</vt:lpstr>
      <vt:lpstr>test-heat-index</vt:lpstr>
      <vt:lpstr>CSV-Query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Terry Moore</dc:creator>
  <cp:lastModifiedBy>Terry Moore</cp:lastModifiedBy>
  <dcterms:created xsi:type="dcterms:W3CDTF">2018-09-18T12:12:34Z</dcterms:created>
  <dcterms:modified xsi:type="dcterms:W3CDTF">2018-09-23T18:22:52Z</dcterms:modified>
</cp:coreProperties>
</file>